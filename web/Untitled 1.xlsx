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ling Calculation (3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<sst xmlns="http://schemas.openxmlformats.org/spreadsheetml/2006/main" count="36" uniqueCount="32">
  <si>
    <t xml:space="preserve">Job Title:</t>
  </si>
  <si>
    <t xml:space="preserve">Observer:</t>
  </si>
  <si>
    <t xml:space="preserve">Job No:</t>
  </si>
  <si>
    <t xml:space="preserve">Staffman:</t>
  </si>
  <si>
    <t xml:space="preserve">Date:</t>
  </si>
  <si>
    <t xml:space="preserve">Misclosure:</t>
  </si>
  <si>
    <t xml:space="preserve">Start Value:</t>
  </si>
  <si>
    <t xml:space="preserve">Set-ups:</t>
  </si>
  <si>
    <t xml:space="preserve">Finish Valu :</t>
  </si>
  <si>
    <t xml:space="preserve">Error/Set-up:</t>
  </si>
  <si>
    <t xml:space="preserve">Difference between first and last point</t>
  </si>
  <si>
    <t xml:space="preserve">Difference between sum B.S and F.S</t>
  </si>
  <si>
    <t xml:space="preserve">فرق منسوب النقطة</t>
  </si>
  <si>
    <t xml:space="preserve">S.No</t>
  </si>
  <si>
    <t xml:space="preserve">Back 
Sight</t>
  </si>
  <si>
    <t xml:space="preserve">Inter
Sight</t>
  </si>
  <si>
    <t xml:space="preserve">Fore 
Sight</t>
  </si>
  <si>
    <t xml:space="preserve">H.L.S</t>
  </si>
  <si>
    <t xml:space="preserve">P.H</t>
  </si>
  <si>
    <t xml:space="preserve">Point
No</t>
  </si>
  <si>
    <t xml:space="preserve">DEF (+) (-)
H.L.S</t>
  </si>
  <si>
    <t xml:space="preserve">DEF  TO PO</t>
  </si>
  <si>
    <t xml:space="preserve">NOTE</t>
  </si>
  <si>
    <t xml:space="preserve">م س م</t>
  </si>
  <si>
    <t xml:space="preserve">م ن خ</t>
  </si>
  <si>
    <t xml:space="preserve">name</t>
  </si>
  <si>
    <t xml:space="preserve">no</t>
  </si>
  <si>
    <t xml:space="preserve">final</t>
  </si>
  <si>
    <t xml:space="preserve"> </t>
  </si>
  <si>
    <t xml:space="preserve">GL M</t>
  </si>
  <si>
    <t xml:space="preserve">DEF (+) (-)</t>
  </si>
  <si>
    <t xml:space="preserve">=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</si>
</sst>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mm/dd/yyyy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Aptos Narrow"/>
      <family val="2"/>
    </font>
    <font>
      <b val="true"/>
      <sz val="12"/>
      <color theme="1"/>
      <name val="Arial"/>
      <family val="2"/>
    </font>
    <font>
      <sz val="11"/>
      <color rgb="FF000000"/>
      <name val="Arial"/>
      <family val="2"/>
    </font>
    <font>
      <b val="true"/>
      <sz val="11"/>
      <color theme="1"/>
      <name val="Aptos Narrow"/>
      <family val="2"/>
    </font>
    <font>
      <b val="true"/>
      <sz val="15"/>
      <color theme="3"/>
      <name val="Aptos Narrow"/>
      <family val="2"/>
    </font>
    <font>
      <b val="true"/>
      <sz val="11"/>
      <color theme="0"/>
      <name val="Aptos Narrow"/>
      <family val="2"/>
    </font>
    <font>
      <b val="true"/>
      <sz val="11"/>
      <color rgb="FFFFFFFF"/>
      <name val="Arial"/>
      <family val="2"/>
    </font>
    <font>
      <b val="true"/>
      <sz val="16"/>
      <color rgb="FFFFFFFF"/>
      <name val="Arial"/>
      <family val="2"/>
    </font>
    <font>
      <sz val="11"/>
      <color rgb="FF3F3F76"/>
      <name val="Aptos Narrow"/>
      <family val="2"/>
    </font>
    <font>
      <sz val="14"/>
      <color rgb="FF3F3F76"/>
      <name val="Aptos Narrow"/>
      <family val="2"/>
    </font>
    <font>
      <b val="true"/>
      <sz val="11"/>
      <color rgb="FF3F3F3F"/>
      <name val="Aptos Narrow"/>
      <family val="2"/>
    </font>
    <font>
      <b val="true"/>
      <sz val="16"/>
      <color rgb="FF3F3F3F"/>
      <name val="Aptos Narrow"/>
      <family val="2"/>
    </font>
    <font>
      <sz val="16"/>
      <color rgb="FF3F3F76"/>
      <name val="Aptos Narrow"/>
      <family val="2"/>
    </font>
    <font>
      <b val="true"/>
      <sz val="18"/>
      <color rgb="FF3F3F3F"/>
      <name val="Aptos Narrow"/>
      <family val="2"/>
    </font>
    <font>
      <sz val="16"/>
      <color theme="0"/>
      <name val="Aptos Narrow"/>
      <family val="2"/>
    </font>
    <font>
      <sz val="11"/>
      <color theme="0"/>
      <name val="Aptos Narrow"/>
      <family val="2"/>
    </font>
    <font>
      <sz val="18"/>
      <color theme="0"/>
      <name val="Aptos Narrow"/>
      <family val="2"/>
    </font>
    <font>
      <sz val="11"/>
      <color rgb="FF1C1D1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9999FF"/>
      </patternFill>
    </fill>
    <fill>
      <patternFill patternType="solid">
        <fgColor rgb="FFFFCC99"/>
        <bgColor rgb="FFFABF8F"/>
      </patternFill>
    </fill>
    <fill>
      <patternFill patternType="solid">
        <fgColor rgb="FFF2F2F2"/>
        <bgColor rgb="FFFDE9D9"/>
      </patternFill>
    </fill>
    <fill>
      <patternFill patternType="solid">
        <fgColor theme="4"/>
        <bgColor rgb="FF008080"/>
      </patternFill>
    </fill>
    <fill>
      <patternFill patternType="solid">
        <fgColor rgb="FFFABF8F"/>
        <bgColor rgb="FFFFCC99"/>
      </patternFill>
    </fill>
    <fill>
      <patternFill patternType="solid">
        <fgColor rgb="FFFDE9D9"/>
        <bgColor rgb="FFF2F2F2"/>
      </patternFill>
    </fill>
    <fill>
      <patternFill patternType="solid">
        <fgColor rgb="FF5B0F00"/>
        <bgColor rgb="FF8000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medium">
        <color rgb="FFCCCCCC"/>
      </left>
      <right style="double"/>
      <top style="double"/>
      <bottom style="double"/>
      <diagonal/>
    </border>
    <border diagonalUp="false" diagonalDown="false">
      <left style="thin"/>
      <right/>
      <top style="thin"/>
      <bottom style="double">
        <color theme="4"/>
      </bottom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>
        <color theme="4"/>
      </top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/>
      <right style="thin">
        <color rgb="FF7F7F7F"/>
      </right>
      <top/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 diagonalUp="false" diagonalDown="false">
      <left style="thin">
        <color rgb="FF3F3F3F"/>
      </left>
      <right style="thin"/>
      <top style="thin">
        <color rgb="FF3F3F3F"/>
      </top>
      <bottom style="thin">
        <color rgb="FF3F3F3F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>
        <color rgb="FF3F3F3F"/>
      </bottom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ck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1" applyFont="true" applyBorder="true" applyAlignment="false" applyProtection="false"/>
    <xf numFmtId="164" fontId="8" fillId="0" borderId="2" applyFont="true" applyBorder="true" applyAlignment="false" applyProtection="false"/>
    <xf numFmtId="164" fontId="9" fillId="2" borderId="3" applyFont="true" applyBorder="true" applyAlignment="false" applyProtection="false"/>
    <xf numFmtId="164" fontId="12" fillId="3" borderId="4" applyFont="true" applyBorder="true" applyAlignment="false" applyProtection="false"/>
    <xf numFmtId="164" fontId="14" fillId="4" borderId="5" applyFont="true" applyBorder="true" applyAlignment="false" applyProtection="false"/>
    <xf numFmtId="164" fontId="19" fillId="5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7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7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4" borderId="11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9" fillId="2" borderId="3" xfId="22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3" xfId="22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4" borderId="12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4" borderId="13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0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3" borderId="21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4" borderId="2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21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4" borderId="2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2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5" borderId="2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26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27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3" borderId="4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4" borderId="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2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4" borderId="2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3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otal" xfId="20"/>
    <cellStyle name="Excel Built-in Heading 1" xfId="21"/>
    <cellStyle name="Excel Built-in Check Cell" xfId="22"/>
    <cellStyle name="Excel Built-in Input" xfId="23"/>
    <cellStyle name="Excel Built-in Output" xfId="24"/>
    <cellStyle name="Excel Built-in Accent1" xfId="25"/>
  </cellStyles>
  <dxfs count="2">
    <dxf>
      <fill>
        <patternFill>
          <bgColor rgb="FFFFA7A7"/>
        </patternFill>
      </fill>
      <border diagonalUp="false" diagonalDown="false">
        <left/>
        <right/>
        <top style="thin"/>
        <bottom style="thin"/>
        <diagonal/>
      </border>
    </dxf>
    <dxf>
      <fill>
        <patternFill>
          <bgColor rgb="FFC8E7A7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156082"/>
      <rgbColor rgb="FFCCCCCC"/>
      <rgbColor rgb="FF7F7F7F"/>
      <rgbColor rgb="FF9999FF"/>
      <rgbColor rgb="FF993366"/>
      <rgbColor rgb="FFFDE9D9"/>
      <rgbColor rgb="FFF2F2F2"/>
      <rgbColor rgb="FF660066"/>
      <rgbColor rgb="FFFF8080"/>
      <rgbColor rgb="FF0066CC"/>
      <rgbColor rgb="FFFABF8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7A7"/>
      <rgbColor rgb="FFFFFF99"/>
      <rgbColor rgb="FF99CCFF"/>
      <rgbColor rgb="FFFFA7A7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E2841"/>
      <rgbColor rgb="FF339966"/>
      <rgbColor rgb="FF003300"/>
      <rgbColor rgb="FF1C1D1C"/>
      <rgbColor rgb="FF9933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9.046875" defaultRowHeight="12.8" customHeight="false" zeroHeight="true" outlineLevelRow="0" outlineLevelCol="0"/>
  <cols>
    <col collapsed="false" customWidth="true" hidden="false" outlineLevel="0" max="2" min="1" style="1" width="10.42"/>
    <col collapsed="false" customWidth="true" hidden="false" outlineLevel="0" max="3" min="3" style="1" width="12.23"/>
    <col collapsed="false" customWidth="true" hidden="false" outlineLevel="0" max="4" min="4" style="1" width="13.13"/>
    <col collapsed="false" customWidth="true" hidden="false" outlineLevel="0" max="6" min="5" style="1" width="11.2"/>
    <col collapsed="false" customWidth="true" hidden="false" outlineLevel="0" max="7" min="7" style="1" width="13"/>
    <col collapsed="false" customWidth="true" hidden="false" outlineLevel="0" max="8" min="8" style="1" width="12.49"/>
    <col collapsed="false" customWidth="true" hidden="false" outlineLevel="0" max="9" min="9" style="1" width="8.62"/>
    <col collapsed="false" customWidth="true" hidden="false" outlineLevel="0" max="10" min="10" style="2" width="14.54"/>
    <col collapsed="false" customWidth="true" hidden="false" outlineLevel="0" max="11" min="11" style="3" width="14.41"/>
    <col collapsed="false" customWidth="true" hidden="false" outlineLevel="0" max="12" min="12" style="1" width="17.89"/>
    <col collapsed="false" customWidth="false" hidden="true" outlineLevel="0" max="15" min="14" style="0" width="19.05"/>
    <col collapsed="false" customWidth="true" hidden="true" outlineLevel="0" max="17" min="16" style="1" width="6.57"/>
    <col collapsed="false" customWidth="true" hidden="true" outlineLevel="0" max="18" min="18" style="1" width="11.53"/>
    <col collapsed="false" customWidth="true" hidden="true" outlineLevel="0" max="19" min="19" style="1" width="6.7"/>
    <col collapsed="false" customWidth="true" hidden="true" outlineLevel="0" max="20" min="20" style="1" width="5.79"/>
    <col collapsed="false" customWidth="true" hidden="true" outlineLevel="0" max="21" min="21" style="1" width="6.57"/>
    <col collapsed="false" customWidth="true" hidden="true" outlineLevel="0" max="22" min="22" style="1" width="8.49"/>
    <col collapsed="false" customWidth="true" hidden="true" outlineLevel="0" max="23" min="23" style="1" width="5.79"/>
    <col collapsed="false" customWidth="true" hidden="true" outlineLevel="0" max="24" min="24" style="1" width="12.49"/>
    <col collapsed="false" customWidth="true" hidden="true" outlineLevel="0" max="26" min="25" style="1" width="3.48"/>
    <col collapsed="false" customWidth="true" hidden="true" outlineLevel="0" max="27" min="27" style="1" width="13.9"/>
    <col collapsed="false" customWidth="true" hidden="true" outlineLevel="0" max="29" min="28" style="4" width="3.61"/>
    <col collapsed="false" customWidth="true" hidden="true" outlineLevel="0" max="30" min="30" style="4" width="7.59"/>
    <col collapsed="false" customWidth="false" hidden="true" outlineLevel="0" max="38" min="31" style="4" width="19.05"/>
    <col collapsed="false" customWidth="true" hidden="true" outlineLevel="0" max="40" min="39" style="4" width="11.53"/>
    <col collapsed="false" customWidth="false" hidden="true" outlineLevel="0" max="16384" min="41" style="0" width="19.05"/>
  </cols>
  <sheetData>
    <row r="1" customFormat="false" ht="26.8" hidden="false" customHeight="false" outlineLevel="0" collapsed="false">
      <c r="J1" s="1"/>
    </row>
    <row r="2" customFormat="false" ht="21.75" hidden="false" customHeight="true" outlineLevel="0" collapsed="false">
      <c r="C2" s="5" t="s">
        <v>0</v>
      </c>
      <c r="D2" s="6"/>
      <c r="E2" s="6"/>
      <c r="F2" s="6"/>
      <c r="G2" s="7"/>
      <c r="J2" s="5" t="s">
        <v>1</v>
      </c>
      <c r="K2" s="8"/>
    </row>
    <row r="3" customFormat="false" ht="21.75" hidden="false" customHeight="true" outlineLevel="0" collapsed="false">
      <c r="C3" s="5" t="s">
        <v>2</v>
      </c>
      <c r="D3" s="6"/>
      <c r="E3" s="6"/>
      <c r="F3" s="6"/>
      <c r="G3" s="7"/>
      <c r="J3" s="5" t="s">
        <v>3</v>
      </c>
      <c r="K3" s="8"/>
    </row>
    <row r="4" customFormat="false" ht="21.75" hidden="false" customHeight="true" outlineLevel="0" collapsed="false">
      <c r="C4" s="5" t="s">
        <v>4</v>
      </c>
      <c r="D4" s="9" t="n">
        <v>45662</v>
      </c>
      <c r="E4" s="9"/>
      <c r="F4" s="9"/>
      <c r="G4" s="7"/>
      <c r="J4" s="7"/>
      <c r="AF4" s="10"/>
      <c r="AG4" s="10"/>
      <c r="AH4" s="10"/>
      <c r="AI4" s="10"/>
    </row>
    <row r="5" customFormat="false" ht="21.75" hidden="false" customHeight="true" outlineLevel="0" collapsed="false">
      <c r="C5" s="7"/>
      <c r="D5" s="7"/>
      <c r="E5" s="7"/>
      <c r="F5" s="7"/>
      <c r="G5" s="7"/>
      <c r="J5" s="5" t="s">
        <v>5</v>
      </c>
      <c r="K5" s="11"/>
      <c r="AF5" s="10"/>
      <c r="AG5" s="10"/>
      <c r="AH5" s="10"/>
      <c r="AI5" s="10"/>
    </row>
    <row r="6" customFormat="false" ht="21.75" hidden="false" customHeight="true" outlineLevel="0" collapsed="false">
      <c r="C6" s="7"/>
      <c r="D6" s="12" t="s">
        <v>6</v>
      </c>
      <c r="E6" s="11" t="n">
        <v>0</v>
      </c>
      <c r="F6" s="7"/>
      <c r="G6" s="7"/>
      <c r="J6" s="5" t="s">
        <v>7</v>
      </c>
      <c r="K6" s="11"/>
      <c r="AF6" s="10"/>
      <c r="AG6" s="10"/>
      <c r="AH6" s="10"/>
      <c r="AI6" s="10"/>
    </row>
    <row r="7" customFormat="false" ht="21.75" hidden="false" customHeight="true" outlineLevel="0" collapsed="false">
      <c r="C7" s="7"/>
      <c r="D7" s="12" t="s">
        <v>8</v>
      </c>
      <c r="E7" s="11"/>
      <c r="F7" s="7"/>
      <c r="G7" s="7"/>
      <c r="J7" s="5" t="s">
        <v>9</v>
      </c>
      <c r="K7" s="11"/>
    </row>
    <row r="8" customFormat="false" ht="23.25" hidden="false" customHeight="true" outlineLevel="0" collapsed="false">
      <c r="J8" s="1"/>
    </row>
    <row r="9" customFormat="false" ht="23.25" hidden="false" customHeight="true" outlineLevel="0" collapsed="false">
      <c r="D9" s="13" t="s">
        <v>10</v>
      </c>
      <c r="E9" s="13"/>
      <c r="F9" s="13"/>
      <c r="G9" s="13"/>
      <c r="H9" s="14" t="n">
        <f aca="false">ABS(ROUND(S9,4))</f>
        <v>0</v>
      </c>
      <c r="J9" s="1"/>
      <c r="P9" s="15" t="s">
        <v>10</v>
      </c>
      <c r="Q9" s="15"/>
      <c r="R9" s="15"/>
      <c r="S9" s="16" t="n">
        <f aca="false" t="array" ref="S9:S9">INDEX(Q:Q,MAX((Q:Q&lt;&gt;"")*ROW(Q:Q)))-Q14</f>
        <v>0</v>
      </c>
    </row>
    <row r="10" customFormat="false" ht="23.25" hidden="false" customHeight="true" outlineLevel="0" collapsed="false">
      <c r="D10" s="17" t="s">
        <v>11</v>
      </c>
      <c r="E10" s="17"/>
      <c r="F10" s="17"/>
      <c r="G10" s="17"/>
      <c r="H10" s="18" t="n">
        <f aca="false">ABS(ROUND(S10,4))</f>
        <v>0</v>
      </c>
      <c r="J10" s="1"/>
      <c r="P10" s="15" t="s">
        <v>11</v>
      </c>
      <c r="Q10" s="15"/>
      <c r="R10" s="15"/>
      <c r="S10" s="16" t="n">
        <f aca="false">SUM(D14:D908)-SUM(F14:F908)</f>
        <v>0</v>
      </c>
    </row>
    <row r="11" customFormat="false" ht="23.2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19"/>
      <c r="L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 customFormat="false" ht="23.25" hidden="false" customHeight="true" outlineLevel="0" collapsed="false">
      <c r="J12" s="1"/>
      <c r="R12" s="20" t="s">
        <v>12</v>
      </c>
      <c r="S12" s="20"/>
      <c r="T12" s="20"/>
      <c r="U12" s="20"/>
      <c r="X12" s="20" t="s">
        <v>13</v>
      </c>
      <c r="Y12" s="20"/>
    </row>
    <row r="13" customFormat="false" ht="43.5" hidden="false" customHeight="true" outlineLevel="0" collapsed="false">
      <c r="C13" s="21" t="s">
        <v>13</v>
      </c>
      <c r="D13" s="22" t="s">
        <v>14</v>
      </c>
      <c r="E13" s="23" t="s">
        <v>15</v>
      </c>
      <c r="F13" s="21" t="s">
        <v>16</v>
      </c>
      <c r="G13" s="22" t="s">
        <v>17</v>
      </c>
      <c r="H13" s="22" t="s">
        <v>18</v>
      </c>
      <c r="I13" s="21" t="s">
        <v>19</v>
      </c>
      <c r="J13" s="22" t="s">
        <v>20</v>
      </c>
      <c r="K13" s="24" t="s">
        <v>21</v>
      </c>
      <c r="L13" s="25" t="s">
        <v>22</v>
      </c>
      <c r="P13" s="26" t="s">
        <v>23</v>
      </c>
      <c r="Q13" s="26" t="s">
        <v>24</v>
      </c>
      <c r="S13" s="26" t="s">
        <v>23</v>
      </c>
      <c r="X13" s="1" t="s">
        <v>25</v>
      </c>
      <c r="Z13" s="1" t="s">
        <v>26</v>
      </c>
      <c r="AA13" s="1" t="s">
        <v>27</v>
      </c>
      <c r="AK13" s="4" t="s">
        <v>28</v>
      </c>
    </row>
    <row r="14" customFormat="false" ht="24" hidden="false" customHeight="true" outlineLevel="0" collapsed="false">
      <c r="C14" s="27" t="s">
        <v>29</v>
      </c>
      <c r="D14" s="28"/>
      <c r="E14" s="28"/>
      <c r="F14" s="28"/>
      <c r="G14" s="29"/>
      <c r="H14" s="30" t="n">
        <v>0</v>
      </c>
      <c r="I14" s="31" t="n">
        <f aca="false">IF(COUNT(C14:F14)&gt;1,C14,IF(J14&lt;&gt;"",COUNT($I$13:I13)+1,""))</f>
        <v>1</v>
      </c>
      <c r="J14" s="32" t="s">
        <v>30</v>
      </c>
      <c r="K14" s="33"/>
      <c r="L14" s="34" t="str">
        <f aca="false">AA14</f>
        <v/>
      </c>
      <c r="P14" s="35" t="n">
        <f aca="false">Q14+D14</f>
        <v>0</v>
      </c>
      <c r="Q14" s="1" t="n">
        <f aca="false">H14</f>
        <v>0</v>
      </c>
      <c r="S14" s="1" t="str">
        <f aca="false">IF(D14&lt;&gt;0,G14,"")</f>
        <v/>
      </c>
      <c r="T14" s="1" t="str">
        <f aca="false">IF(D14&lt;&gt;0,D14,"")</f>
        <v/>
      </c>
      <c r="U14" s="1" t="str">
        <f aca="false">IF(S14&lt;&gt;"",S14-T14,"")</f>
        <v/>
      </c>
      <c r="V14" s="1" t="n">
        <v>0</v>
      </c>
      <c r="W14" s="1" t="s">
        <v>31</v>
      </c>
      <c r="X14" s="1" t="str">
        <f aca="false">IF(SUM(D14)&lt;&gt;0,"Turning Point","")</f>
        <v/>
      </c>
      <c r="Y14" s="1" t="str">
        <f aca="false">IF(COUNT(D14:F14)&lt;&gt;0,COUNT(C13:$C$13)+1,"")</f>
        <v/>
      </c>
      <c r="Z14" s="1" t="str">
        <f aca="false">IF(X14="Turning Point",COUNT(Z13:$Z$13)+1,"")</f>
        <v/>
      </c>
      <c r="AA14" s="1" t="str">
        <f aca="false">IF(AD14&lt;&gt;"",AD14,IF(Y14&lt;&gt;"",CONCATENATE(X14," ",Z14),""))</f>
        <v/>
      </c>
      <c r="AB14" s="4" t="n">
        <f aca="false">COUNT(Z14:Z73)</f>
        <v>0</v>
      </c>
      <c r="AC14" s="4" t="str">
        <f aca="false">IF(F14&lt;&gt;"",COUNTIF(X$13:$X14,"Turning Point")-1,"")</f>
        <v/>
      </c>
      <c r="AD14" s="4" t="str">
        <f aca="false">IF(F14&lt;&gt;"",IF(AC14=$AB$14,IF(Z14&lt;&gt;"","","end"),""),"")</f>
        <v/>
      </c>
    </row>
    <row r="15" customFormat="false" ht="24" hidden="false" customHeight="true" outlineLevel="0" collapsed="false">
      <c r="C15" s="36" t="n">
        <v>2</v>
      </c>
      <c r="D15" s="37"/>
      <c r="E15" s="37"/>
      <c r="F15" s="37"/>
      <c r="G15" s="38"/>
      <c r="H15" s="38" t="str">
        <f aca="false">IF(AND(D15="",E15="",F15=""),"",Q15)</f>
        <v/>
      </c>
      <c r="I15" s="31" t="str">
        <f aca="false">IF(COUNT(C15:F15)&gt;1,C15,IF(J15&lt;&gt;"",COUNT($I$13:I14)+1,""))</f>
        <v/>
      </c>
      <c r="J15" s="39" t="str">
        <f aca="false">IF(COUNT(D15:F15)&gt;0,V15,"")</f>
        <v/>
      </c>
      <c r="K15" s="40" t="str">
        <f aca="false">IF(COUNT(D15:F15,I15)&gt;1,D14+E14-E15-F15,"")</f>
        <v/>
      </c>
      <c r="L15" s="41" t="str">
        <f aca="false">AA15</f>
        <v/>
      </c>
      <c r="P15" s="42" t="n">
        <f aca="false">Q15+E15+D15</f>
        <v>0</v>
      </c>
      <c r="Q15" s="42" t="n">
        <f aca="false">P14-E15-F15</f>
        <v>0</v>
      </c>
      <c r="S15" s="1" t="str">
        <f aca="false">IF(D15="",S14,G15)</f>
        <v/>
      </c>
      <c r="T15" s="1" t="str">
        <f aca="false">IF(D15="",T14,D15)</f>
        <v/>
      </c>
      <c r="U15" s="1" t="str">
        <f aca="false">IF(S15&lt;&gt;"",S15-T15,"")</f>
        <v/>
      </c>
      <c r="V15" s="1" t="e">
        <f aca="false">IF(Q15&lt;&gt;"",Q15-U14,"")</f>
        <v>#VALUE!</v>
      </c>
      <c r="W15" s="1" t="str">
        <f aca="false" t="array" ref="W15:W15">IF(J15&lt;&gt;"",_xlfn.IFS(V15&gt;0,"CUT",V15&lt;0,"FALL"),"")</f>
        <v/>
      </c>
      <c r="X15" s="1" t="str">
        <f aca="false">IF(SUM(D15)&lt;&gt;0,"Turning Point","")</f>
        <v/>
      </c>
      <c r="Y15" s="1" t="str">
        <f aca="false">IF(COUNT(D15:F15)&lt;&gt;0,COUNT(C$13:$C14)+1,"")</f>
        <v/>
      </c>
      <c r="Z15" s="1" t="str">
        <f aca="false">IF(X15="Turning Point",COUNT(Z$13:$Z14)+1,"")</f>
        <v/>
      </c>
      <c r="AA15" s="1" t="str">
        <f aca="false">IF(AD15&lt;&gt;"",AD15,IF(Y15&lt;&gt;"",CONCATENATE(X15," ",Z15),""))</f>
        <v/>
      </c>
      <c r="AC15" s="4" t="str">
        <f aca="false">IF(F15&lt;&gt;"",COUNTIF(X$13:$X15,"Turning Point"),"")</f>
        <v/>
      </c>
      <c r="AD15" s="4" t="str">
        <f aca="false">IF(F15&lt;&gt;"",IF(AC15=$AB$14,IF(Z15&lt;&gt;"","","end"),""),"")</f>
        <v/>
      </c>
    </row>
    <row r="16" customFormat="false" ht="24" hidden="false" customHeight="true" outlineLevel="0" collapsed="false">
      <c r="C16" s="36" t="n">
        <v>3</v>
      </c>
      <c r="D16" s="37"/>
      <c r="E16" s="37"/>
      <c r="F16" s="37"/>
      <c r="G16" s="38"/>
      <c r="H16" s="38" t="str">
        <f aca="false">IF(AND(D16="",E16="",F16=""),"",Q16)</f>
        <v/>
      </c>
      <c r="I16" s="31" t="str">
        <f aca="false">IF(COUNT(C16:F16)&gt;1,C16,IF(J16&lt;&gt;"",COUNT($I$13:I15)+1,""))</f>
        <v/>
      </c>
      <c r="J16" s="39" t="str">
        <f aca="false">IF(COUNT(D16:F16)&gt;0,V16,"")</f>
        <v/>
      </c>
      <c r="K16" s="40" t="str">
        <f aca="false">IF(COUNT(D16:F16,I16)&gt;1,D15+E15-E16-F16,"")</f>
        <v/>
      </c>
      <c r="L16" s="41" t="str">
        <f aca="false">AA16</f>
        <v/>
      </c>
      <c r="P16" s="42" t="n">
        <f aca="false">Q16+E16+D16</f>
        <v>0</v>
      </c>
      <c r="Q16" s="42" t="n">
        <f aca="false">P15-E16-F16</f>
        <v>0</v>
      </c>
      <c r="S16" s="1" t="str">
        <f aca="false">IF(D16="",S15,G16)</f>
        <v/>
      </c>
      <c r="T16" s="1" t="str">
        <f aca="false">IF(D16="",T15,D16)</f>
        <v/>
      </c>
      <c r="U16" s="1" t="str">
        <f aca="false">IF(S16&lt;&gt;"",S16-T16,"")</f>
        <v/>
      </c>
      <c r="V16" s="1" t="e">
        <f aca="false">IF(Q16&lt;&gt;"",Q16-U15,"")</f>
        <v>#VALUE!</v>
      </c>
      <c r="W16" s="1" t="str">
        <f aca="false" t="array" ref="W16:W16">IF(J16&lt;&gt;"",_xlfn.IFS(V16&gt;0,"CUT",V16&lt;0,"FALL"),"")</f>
        <v/>
      </c>
      <c r="X16" s="1" t="str">
        <f aca="false">IF(SUM(D16)&lt;&gt;0,"Turning Point","")</f>
        <v/>
      </c>
      <c r="Y16" s="1" t="str">
        <f aca="false">IF(COUNT(D16:F16)&lt;&gt;0,COUNT(C$13:$C15)+1,"")</f>
        <v/>
      </c>
      <c r="Z16" s="1" t="str">
        <f aca="false">IF(X16="Turning Point",COUNT(Z$13:$Z15)+1,"")</f>
        <v/>
      </c>
      <c r="AA16" s="1" t="str">
        <f aca="false">IF(AD16&lt;&gt;"",AD16,IF(Y16&lt;&gt;"",CONCATENATE(X16," ",Z16),""))</f>
        <v/>
      </c>
      <c r="AC16" s="4" t="str">
        <f aca="false">IF(F16&lt;&gt;"",COUNTIF(X$13:$X16,"Turning Point"),"")</f>
        <v/>
      </c>
      <c r="AD16" s="4" t="str">
        <f aca="false">IF(F16&lt;&gt;"",IF(AC16=$AB$14,IF(Z16&lt;&gt;"","","end"),""),"")</f>
        <v/>
      </c>
    </row>
    <row r="17" customFormat="false" ht="24" hidden="false" customHeight="true" outlineLevel="0" collapsed="false">
      <c r="C17" s="27" t="n">
        <v>4</v>
      </c>
      <c r="D17" s="37"/>
      <c r="E17" s="37"/>
      <c r="F17" s="37"/>
      <c r="G17" s="38"/>
      <c r="H17" s="38" t="str">
        <f aca="false">IF(AND(D17="",E17="",F17=""),"",Q17)</f>
        <v/>
      </c>
      <c r="I17" s="31" t="str">
        <f aca="false">IF(COUNT(C17:F17)&gt;1,C17,IF(J17&lt;&gt;"",COUNT($I$13:I16)+1,""))</f>
        <v/>
      </c>
      <c r="J17" s="39" t="str">
        <f aca="false">IF(COUNT(D17:F17)&gt;0,V17,"")</f>
        <v/>
      </c>
      <c r="K17" s="40" t="str">
        <f aca="false">IF(COUNT(D17:F17,I17)&gt;1,D16+E16-E17-F17,"")</f>
        <v/>
      </c>
      <c r="L17" s="41" t="str">
        <f aca="false">AA17</f>
        <v/>
      </c>
      <c r="P17" s="42" t="n">
        <f aca="false">Q17+E17+D17</f>
        <v>0</v>
      </c>
      <c r="Q17" s="42" t="n">
        <f aca="false">P16-E17-F17</f>
        <v>0</v>
      </c>
      <c r="S17" s="1" t="str">
        <f aca="false">IF(D17="",S16,G17)</f>
        <v/>
      </c>
      <c r="T17" s="1" t="str">
        <f aca="false">IF(D17="",T16,D17)</f>
        <v/>
      </c>
      <c r="U17" s="1" t="str">
        <f aca="false">IF(S17&lt;&gt;"",S17-T17,"")</f>
        <v/>
      </c>
      <c r="V17" s="1" t="e">
        <f aca="false">IF(Q17&lt;&gt;"",Q17-U16,"")</f>
        <v>#VALUE!</v>
      </c>
      <c r="W17" s="1" t="str">
        <f aca="false" t="array" ref="W17:W17">IF(J17&lt;&gt;"",_xlfn.IFS(V17&gt;0,"CUT",V17&lt;0,"FALL"),"")</f>
        <v/>
      </c>
      <c r="X17" s="1" t="str">
        <f aca="false">IF(SUM(D17)&lt;&gt;0,"Turning Point","")</f>
        <v/>
      </c>
      <c r="Y17" s="1" t="str">
        <f aca="false">IF(COUNT(D17:F17)&lt;&gt;0,COUNT(C$13:$C16)+1,"")</f>
        <v/>
      </c>
      <c r="Z17" s="1" t="str">
        <f aca="false">IF(X17="Turning Point",COUNT(Z$13:$Z16)+1,"")</f>
        <v/>
      </c>
      <c r="AA17" s="1" t="str">
        <f aca="false">IF(AD17&lt;&gt;"",AD17,IF(Y17&lt;&gt;"",CONCATENATE(X17," ",Z17),""))</f>
        <v/>
      </c>
      <c r="AC17" s="4" t="str">
        <f aca="false">IF(F17&lt;&gt;"",COUNTIF(X$13:$X17,"Turning Point"),"")</f>
        <v/>
      </c>
      <c r="AD17" s="4" t="str">
        <f aca="false">IF(F17&lt;&gt;"",IF(AC17=$AB$14,IF(Z17&lt;&gt;"","","end"),""),"")</f>
        <v/>
      </c>
    </row>
    <row r="18" customFormat="false" ht="24" hidden="false" customHeight="true" outlineLevel="0" collapsed="false">
      <c r="C18" s="36" t="n">
        <v>5</v>
      </c>
      <c r="D18" s="37"/>
      <c r="E18" s="37"/>
      <c r="F18" s="37"/>
      <c r="G18" s="38"/>
      <c r="H18" s="38" t="str">
        <f aca="false">IF(AND(D18="",E18="",F18=""),"",Q18)</f>
        <v/>
      </c>
      <c r="I18" s="31" t="str">
        <f aca="false">IF(COUNT(C18:F18)&gt;1,C18,IF(J18&lt;&gt;"",COUNT($I$13:I17)+1,""))</f>
        <v/>
      </c>
      <c r="J18" s="39" t="str">
        <f aca="false">IF(COUNT(D18:F18)&gt;0,V18,"")</f>
        <v/>
      </c>
      <c r="K18" s="40" t="str">
        <f aca="false">IF(COUNT(D18:F18,I18)&gt;1,D17+E17-E18-F18,"")</f>
        <v/>
      </c>
      <c r="L18" s="41" t="str">
        <f aca="false">AA18</f>
        <v/>
      </c>
      <c r="P18" s="42" t="n">
        <f aca="false">Q18+E18+D18</f>
        <v>0</v>
      </c>
      <c r="Q18" s="42" t="n">
        <f aca="false">P17-E18-F18</f>
        <v>0</v>
      </c>
      <c r="S18" s="1" t="str">
        <f aca="false">IF(D18="",S17,G18)</f>
        <v/>
      </c>
      <c r="T18" s="1" t="str">
        <f aca="false">IF(D18="",T17,D18)</f>
        <v/>
      </c>
      <c r="U18" s="1" t="str">
        <f aca="false">IF(S18&lt;&gt;"",S18-T18,"")</f>
        <v/>
      </c>
      <c r="V18" s="1" t="e">
        <f aca="false">IF(Q18&lt;&gt;"",Q18-U17,"")</f>
        <v>#VALUE!</v>
      </c>
      <c r="W18" s="1" t="str">
        <f aca="false" t="array" ref="W18:W18">IF(J18&lt;&gt;"",_xlfn.IFS(V18&gt;0,"CUT",V18&lt;0,"FALL"),"")</f>
        <v/>
      </c>
      <c r="X18" s="1" t="str">
        <f aca="false">IF(SUM(D18)&lt;&gt;0,"Turning Point","")</f>
        <v/>
      </c>
      <c r="Y18" s="1" t="str">
        <f aca="false">IF(COUNT(D18:F18)&lt;&gt;0,COUNT(C$13:$C17)+1,"")</f>
        <v/>
      </c>
      <c r="Z18" s="1" t="str">
        <f aca="false">IF(X18="Turning Point",COUNT(Z$13:$Z17)+1,"")</f>
        <v/>
      </c>
      <c r="AA18" s="1" t="str">
        <f aca="false">IF(AD18&lt;&gt;"",AD18,IF(Y18&lt;&gt;"",CONCATENATE(X18," ",Z18),""))</f>
        <v/>
      </c>
      <c r="AC18" s="4" t="str">
        <f aca="false">IF(F18&lt;&gt;"",COUNTIF(X$13:$X18,"Turning Point"),"")</f>
        <v/>
      </c>
      <c r="AD18" s="4" t="str">
        <f aca="false">IF(F18&lt;&gt;"",IF(AC18=$AB$14,IF(Z18&lt;&gt;"","","end"),""),"")</f>
        <v/>
      </c>
    </row>
    <row r="19" customFormat="false" ht="24" hidden="false" customHeight="true" outlineLevel="0" collapsed="false">
      <c r="C19" s="27" t="n">
        <v>6</v>
      </c>
      <c r="D19" s="37"/>
      <c r="E19" s="37"/>
      <c r="F19" s="37"/>
      <c r="G19" s="38"/>
      <c r="H19" s="38" t="str">
        <f aca="false">IF(AND(D19="",E19="",F19=""),"",Q19)</f>
        <v/>
      </c>
      <c r="I19" s="31" t="str">
        <f aca="false">IF(COUNT(C19:F19)&gt;1,C19,IF(J19&lt;&gt;"",COUNT($I$13:I18)+1,""))</f>
        <v/>
      </c>
      <c r="J19" s="39" t="str">
        <f aca="false">IF(COUNT(D19:F19)&gt;0,V19,"")</f>
        <v/>
      </c>
      <c r="K19" s="40" t="str">
        <f aca="false">IF(COUNT(D19:F19,I19)&gt;1,D18+E18-E19-F19,"")</f>
        <v/>
      </c>
      <c r="L19" s="41" t="str">
        <f aca="false">AA19</f>
        <v/>
      </c>
      <c r="P19" s="42" t="n">
        <f aca="false">Q19+E19+D19</f>
        <v>0</v>
      </c>
      <c r="Q19" s="42" t="n">
        <f aca="false">P18-E19-F19</f>
        <v>0</v>
      </c>
      <c r="S19" s="1" t="str">
        <f aca="false">IF(D19="",S18,G19)</f>
        <v/>
      </c>
      <c r="T19" s="1" t="str">
        <f aca="false">IF(D19="",T18,D19)</f>
        <v/>
      </c>
      <c r="U19" s="1" t="str">
        <f aca="false">IF(S19&lt;&gt;"",S19-T19,"")</f>
        <v/>
      </c>
      <c r="V19" s="1" t="e">
        <f aca="false">IF(Q19&lt;&gt;"",Q19-U18,"")</f>
        <v>#VALUE!</v>
      </c>
      <c r="W19" s="1" t="str">
        <f aca="false" t="array" ref="W19:W19">IF(J19&lt;&gt;"",_xlfn.IFS(V19&gt;0,"CUT",V19&lt;0,"FALL"),"")</f>
        <v/>
      </c>
      <c r="X19" s="1" t="str">
        <f aca="false">IF(SUM(D19)&lt;&gt;0,"Turning Point","")</f>
        <v/>
      </c>
      <c r="Y19" s="1" t="str">
        <f aca="false">IF(COUNT(D19:F19)&lt;&gt;0,COUNT(C$13:$C18)+1,"")</f>
        <v/>
      </c>
      <c r="Z19" s="1" t="str">
        <f aca="false">IF(X19="Turning Point",COUNT(Z$13:$Z18)+1,"")</f>
        <v/>
      </c>
      <c r="AA19" s="1" t="str">
        <f aca="false">IF(AD19&lt;&gt;"",AD19,IF(Y19&lt;&gt;"",CONCATENATE(X19," ",Z19),""))</f>
        <v/>
      </c>
      <c r="AC19" s="4" t="str">
        <f aca="false">IF(F19&lt;&gt;"",COUNTIF(X$13:$X19,"Turning Point"),"")</f>
        <v/>
      </c>
      <c r="AD19" s="4" t="str">
        <f aca="false">IF(F19&lt;&gt;"",IF(AC19=$AB$14,IF(Z19&lt;&gt;"","","end"),""),"")</f>
        <v/>
      </c>
    </row>
    <row r="20" customFormat="false" ht="24" hidden="false" customHeight="true" outlineLevel="0" collapsed="false">
      <c r="C20" s="36" t="n">
        <v>7</v>
      </c>
      <c r="D20" s="37"/>
      <c r="E20" s="37"/>
      <c r="F20" s="37"/>
      <c r="G20" s="38"/>
      <c r="H20" s="38" t="str">
        <f aca="false">IF(AND(D20="",E20="",F20=""),"",Q20)</f>
        <v/>
      </c>
      <c r="I20" s="31" t="str">
        <f aca="false">IF(COUNT(C20:F20)&gt;1,C20,IF(J20&lt;&gt;"",COUNT($I$13:I19)+1,""))</f>
        <v/>
      </c>
      <c r="J20" s="39" t="str">
        <f aca="false">IF(COUNT(D20:F20)&gt;0,V20,"")</f>
        <v/>
      </c>
      <c r="K20" s="40" t="str">
        <f aca="false">IF(COUNT(D20:F20,I20)&gt;1,D19+E19-E20-F20,"")</f>
        <v/>
      </c>
      <c r="L20" s="41" t="str">
        <f aca="false">AA20</f>
        <v/>
      </c>
      <c r="P20" s="42" t="n">
        <f aca="false">Q20+E20+D20</f>
        <v>0</v>
      </c>
      <c r="Q20" s="42" t="n">
        <f aca="false">P19-E20-F20</f>
        <v>0</v>
      </c>
      <c r="S20" s="1" t="str">
        <f aca="false">IF(D20="",S19,G20)</f>
        <v/>
      </c>
      <c r="T20" s="1" t="str">
        <f aca="false">IF(D20="",T19,D20)</f>
        <v/>
      </c>
      <c r="U20" s="1" t="str">
        <f aca="false">IF(S20&lt;&gt;"",S20-T20,"")</f>
        <v/>
      </c>
      <c r="V20" s="1" t="e">
        <f aca="false">IF(Q20&lt;&gt;"",Q20-U19,"")</f>
        <v>#VALUE!</v>
      </c>
      <c r="W20" s="1" t="str">
        <f aca="false" t="array" ref="W20:W20">IF(J20&lt;&gt;"",_xlfn.IFS(V20&gt;0,"CUT",V20&lt;0,"FALL"),"")</f>
        <v/>
      </c>
      <c r="X20" s="1" t="str">
        <f aca="false">IF(SUM(D20)&lt;&gt;0,"Turning Point","")</f>
        <v/>
      </c>
      <c r="Y20" s="1" t="str">
        <f aca="false">IF(COUNT(D20:F20)&lt;&gt;0,COUNT(C$13:$C19)+1,"")</f>
        <v/>
      </c>
      <c r="Z20" s="1" t="str">
        <f aca="false">IF(X20="Turning Point",COUNT(Z$13:$Z19)+1,"")</f>
        <v/>
      </c>
      <c r="AA20" s="1" t="str">
        <f aca="false">IF(AD20&lt;&gt;"",AD20,IF(Y20&lt;&gt;"",CONCATENATE(X20," ",Z20),""))</f>
        <v/>
      </c>
      <c r="AC20" s="4" t="str">
        <f aca="false">IF(F20&lt;&gt;"",COUNTIF(X$13:$X20,"Turning Point"),"")</f>
        <v/>
      </c>
      <c r="AD20" s="4" t="str">
        <f aca="false">IF(F20&lt;&gt;"",IF(AC20=$AB$14,IF(Z20&lt;&gt;"","","end"),""),"")</f>
        <v/>
      </c>
    </row>
    <row r="21" customFormat="false" ht="24" hidden="false" customHeight="true" outlineLevel="0" collapsed="false">
      <c r="C21" s="27" t="n">
        <v>8</v>
      </c>
      <c r="D21" s="37"/>
      <c r="E21" s="37"/>
      <c r="F21" s="37"/>
      <c r="G21" s="38"/>
      <c r="H21" s="38" t="str">
        <f aca="false">IF(AND(D21="",E21="",F21=""),"",Q21)</f>
        <v/>
      </c>
      <c r="I21" s="31" t="str">
        <f aca="false">IF(COUNT(C21:F21)&gt;1,C21,IF(J21&lt;&gt;"",COUNT($I$13:I20)+1,""))</f>
        <v/>
      </c>
      <c r="J21" s="39" t="str">
        <f aca="false">IF(COUNT(D21:F21)&gt;0,V21,"")</f>
        <v/>
      </c>
      <c r="K21" s="40" t="str">
        <f aca="false">IF(COUNT(D21:F21,I21)&gt;1,D20+E20-E21-F21,"")</f>
        <v/>
      </c>
      <c r="L21" s="41" t="str">
        <f aca="false">AA21</f>
        <v/>
      </c>
      <c r="P21" s="42" t="n">
        <f aca="false">Q21+E21+D21</f>
        <v>0</v>
      </c>
      <c r="Q21" s="42" t="n">
        <f aca="false">P20-E21-F21</f>
        <v>0</v>
      </c>
      <c r="S21" s="1" t="str">
        <f aca="false">IF(D21="",S20,G21)</f>
        <v/>
      </c>
      <c r="T21" s="1" t="str">
        <f aca="false">IF(D21="",T20,D21)</f>
        <v/>
      </c>
      <c r="U21" s="1" t="str">
        <f aca="false">IF(S21&lt;&gt;"",S21-T21,"")</f>
        <v/>
      </c>
      <c r="V21" s="1" t="e">
        <f aca="false">IF(Q21&lt;&gt;"",Q21-U20,"")</f>
        <v>#VALUE!</v>
      </c>
      <c r="W21" s="1" t="str">
        <f aca="false" t="array" ref="W21:W21">IF(J21&lt;&gt;"",_xlfn.IFS(V21&gt;0,"CUT",V21&lt;0,"FALL"),"")</f>
        <v/>
      </c>
      <c r="X21" s="1" t="str">
        <f aca="false">IF(SUM(D21)&lt;&gt;0,"Turning Point","")</f>
        <v/>
      </c>
      <c r="Y21" s="1" t="str">
        <f aca="false">IF(COUNT(D21:F21)&lt;&gt;0,COUNT(C$13:$C20)+1,"")</f>
        <v/>
      </c>
      <c r="Z21" s="1" t="str">
        <f aca="false">IF(X21="Turning Point",COUNT(Z$13:$Z20)+1,"")</f>
        <v/>
      </c>
      <c r="AA21" s="1" t="str">
        <f aca="false">IF(AD21&lt;&gt;"",AD21,IF(Y21&lt;&gt;"",CONCATENATE(X21," ",Z21),""))</f>
        <v/>
      </c>
      <c r="AC21" s="4" t="str">
        <f aca="false">IF(F21&lt;&gt;"",COUNTIF(X$13:$X21,"Turning Point"),"")</f>
        <v/>
      </c>
      <c r="AD21" s="4" t="str">
        <f aca="false">IF(F21&lt;&gt;"",IF(AC21=$AB$14,IF(Z21&lt;&gt;"","","end"),""),"")</f>
        <v/>
      </c>
    </row>
    <row r="22" customFormat="false" ht="24" hidden="false" customHeight="true" outlineLevel="0" collapsed="false">
      <c r="C22" s="36" t="n">
        <v>9</v>
      </c>
      <c r="D22" s="37"/>
      <c r="E22" s="37"/>
      <c r="F22" s="37"/>
      <c r="G22" s="38"/>
      <c r="H22" s="38" t="str">
        <f aca="false">IF(AND(D22="",E22="",F22=""),"",Q22)</f>
        <v/>
      </c>
      <c r="I22" s="31" t="str">
        <f aca="false">IF(COUNT(C22:F22)&gt;1,C22,IF(J22&lt;&gt;"",COUNT($I$13:I21)+1,""))</f>
        <v/>
      </c>
      <c r="J22" s="39" t="str">
        <f aca="false">IF(COUNT(D22:F22)&gt;0,V22,"")</f>
        <v/>
      </c>
      <c r="K22" s="40" t="str">
        <f aca="false">IF(COUNT(D22:F22,I22)&gt;1,D21+E21-E22-F22,"")</f>
        <v/>
      </c>
      <c r="L22" s="41" t="str">
        <f aca="false">AA22</f>
        <v/>
      </c>
      <c r="P22" s="42" t="n">
        <f aca="false">Q22+E22+D22</f>
        <v>0</v>
      </c>
      <c r="Q22" s="42" t="n">
        <f aca="false">P21-E22-F22</f>
        <v>0</v>
      </c>
      <c r="S22" s="1" t="str">
        <f aca="false">IF(D22="",S21,G22)</f>
        <v/>
      </c>
      <c r="T22" s="1" t="str">
        <f aca="false">IF(D22="",T21,D22)</f>
        <v/>
      </c>
      <c r="U22" s="1" t="str">
        <f aca="false">IF(S22&lt;&gt;"",S22-T22,"")</f>
        <v/>
      </c>
      <c r="V22" s="1" t="e">
        <f aca="false">IF(Q22&lt;&gt;"",Q22-U21,"")</f>
        <v>#VALUE!</v>
      </c>
      <c r="W22" s="1" t="str">
        <f aca="false" t="array" ref="W22:W22">IF(J22&lt;&gt;"",_xlfn.IFS(V22&gt;0,"CUT",V22&lt;0,"FALL"),"")</f>
        <v/>
      </c>
      <c r="X22" s="1" t="str">
        <f aca="false">IF(SUM(D22)&lt;&gt;0,"Turning Point","")</f>
        <v/>
      </c>
      <c r="Y22" s="1" t="str">
        <f aca="false">IF(COUNT(D22:F22)&lt;&gt;0,COUNT(C$13:$C21)+1,"")</f>
        <v/>
      </c>
      <c r="Z22" s="1" t="str">
        <f aca="false">IF(X22="Turning Point",COUNT(Z$13:$Z21)+1,"")</f>
        <v/>
      </c>
      <c r="AA22" s="1" t="str">
        <f aca="false">IF(AD22&lt;&gt;"",AD22,IF(Y22&lt;&gt;"",CONCATENATE(X22," ",Z22),""))</f>
        <v/>
      </c>
      <c r="AC22" s="4" t="str">
        <f aca="false">IF(F22&lt;&gt;"",COUNTIF(X$13:$X22,"Turning Point"),"")</f>
        <v/>
      </c>
      <c r="AD22" s="4" t="str">
        <f aca="false">IF(F22&lt;&gt;"",IF(AC22=$AB$14,IF(Z22&lt;&gt;"","","end"),""),"")</f>
        <v/>
      </c>
    </row>
    <row r="23" customFormat="false" ht="24" hidden="false" customHeight="true" outlineLevel="0" collapsed="false">
      <c r="C23" s="27" t="n">
        <v>10</v>
      </c>
      <c r="D23" s="37"/>
      <c r="E23" s="37"/>
      <c r="F23" s="37"/>
      <c r="G23" s="38"/>
      <c r="H23" s="38" t="str">
        <f aca="false">IF(AND(D23="",E23="",F23=""),"",Q23)</f>
        <v/>
      </c>
      <c r="I23" s="31" t="str">
        <f aca="false">IF(COUNT(C23:F23)&gt;1,C23,IF(J23&lt;&gt;"",COUNT($I$13:I22)+1,""))</f>
        <v/>
      </c>
      <c r="J23" s="39" t="str">
        <f aca="false">IF(COUNT(D23:F23)&gt;0,V23,"")</f>
        <v/>
      </c>
      <c r="K23" s="40" t="str">
        <f aca="false">IF(COUNT(D23:F23,I23)&gt;1,D22+E22-E23-F23,"")</f>
        <v/>
      </c>
      <c r="L23" s="41" t="str">
        <f aca="false">AA23</f>
        <v/>
      </c>
      <c r="P23" s="42" t="n">
        <f aca="false">Q23+E23+D23</f>
        <v>0</v>
      </c>
      <c r="Q23" s="42" t="n">
        <f aca="false">P22-E23-F23</f>
        <v>0</v>
      </c>
      <c r="S23" s="1" t="str">
        <f aca="false">IF(D23="",S22,G23)</f>
        <v/>
      </c>
      <c r="T23" s="1" t="str">
        <f aca="false">IF(D23="",T22,D23)</f>
        <v/>
      </c>
      <c r="U23" s="1" t="str">
        <f aca="false">IF(S23&lt;&gt;"",S23-T23,"")</f>
        <v/>
      </c>
      <c r="V23" s="1" t="e">
        <f aca="false">IF(Q23&lt;&gt;"",Q23-U22,"")</f>
        <v>#VALUE!</v>
      </c>
      <c r="W23" s="1" t="str">
        <f aca="false" t="array" ref="W23:W23">IF(J23&lt;&gt;"",_xlfn.IFS(V23&gt;0,"CUT",V23&lt;0,"FALL"),"")</f>
        <v/>
      </c>
      <c r="X23" s="1" t="str">
        <f aca="false">IF(SUM(D23)&lt;&gt;0,"Turning Point","")</f>
        <v/>
      </c>
      <c r="Y23" s="1" t="str">
        <f aca="false">IF(COUNT(D23:F23)&lt;&gt;0,COUNT(C$13:$C22)+1,"")</f>
        <v/>
      </c>
      <c r="Z23" s="1" t="str">
        <f aca="false">IF(X23="Turning Point",COUNT(Z$13:$Z22)+1,"")</f>
        <v/>
      </c>
      <c r="AA23" s="1" t="str">
        <f aca="false">IF(AD23&lt;&gt;"",AD23,IF(Y23&lt;&gt;"",CONCATENATE(X23," ",Z23),""))</f>
        <v/>
      </c>
      <c r="AC23" s="4" t="str">
        <f aca="false">IF(F23&lt;&gt;"",COUNTIF(X$13:$X23,"Turning Point"),"")</f>
        <v/>
      </c>
      <c r="AD23" s="4" t="str">
        <f aca="false">IF(F23&lt;&gt;"",IF(AC23=$AB$14,IF(Z23&lt;&gt;"","","end"),""),"")</f>
        <v/>
      </c>
    </row>
    <row r="24" customFormat="false" ht="24" hidden="false" customHeight="true" outlineLevel="0" collapsed="false">
      <c r="C24" s="36" t="n">
        <v>11</v>
      </c>
      <c r="D24" s="37"/>
      <c r="E24" s="37"/>
      <c r="F24" s="37"/>
      <c r="G24" s="38"/>
      <c r="H24" s="38" t="str">
        <f aca="false">IF(AND(D24="",E24="",F24=""),"",Q24)</f>
        <v/>
      </c>
      <c r="I24" s="31" t="str">
        <f aca="false">IF(COUNT(C24:F24)&gt;1,C24,IF(J24&lt;&gt;"",COUNT($I$13:I23)+1,""))</f>
        <v/>
      </c>
      <c r="J24" s="39" t="str">
        <f aca="false">IF(COUNT(D24:F24)&gt;0,V24,"")</f>
        <v/>
      </c>
      <c r="K24" s="40" t="str">
        <f aca="false">IF(COUNT(D24:F24,I24)&gt;1,D23+E23-E24-F24,"")</f>
        <v/>
      </c>
      <c r="L24" s="41" t="str">
        <f aca="false">AA24</f>
        <v/>
      </c>
      <c r="P24" s="42" t="n">
        <f aca="false">Q24+E24+D24</f>
        <v>0</v>
      </c>
      <c r="Q24" s="42" t="n">
        <f aca="false">P23-E24-F24</f>
        <v>0</v>
      </c>
      <c r="S24" s="1" t="str">
        <f aca="false">IF(D24="",S23,G24)</f>
        <v/>
      </c>
      <c r="T24" s="1" t="str">
        <f aca="false">IF(D24="",T23,D24)</f>
        <v/>
      </c>
      <c r="U24" s="1" t="str">
        <f aca="false">IF(S24&lt;&gt;"",S24-T24,"")</f>
        <v/>
      </c>
      <c r="V24" s="1" t="e">
        <f aca="false">IF(Q24&lt;&gt;"",Q24-U23,"")</f>
        <v>#VALUE!</v>
      </c>
      <c r="W24" s="1" t="str">
        <f aca="false" t="array" ref="W24:W24">IF(J24&lt;&gt;"",_xlfn.IFS(V24&gt;0,"CUT",V24&lt;0,"FALL"),"")</f>
        <v/>
      </c>
      <c r="X24" s="1" t="str">
        <f aca="false">IF(SUM(D24)&lt;&gt;0,"Turning Point","")</f>
        <v/>
      </c>
      <c r="Y24" s="1" t="str">
        <f aca="false">IF(COUNT(D24:F24)&lt;&gt;0,COUNT(C$13:$C23)+1,"")</f>
        <v/>
      </c>
      <c r="Z24" s="1" t="str">
        <f aca="false">IF(X24="Turning Point",COUNT(Z$13:$Z23)+1,"")</f>
        <v/>
      </c>
      <c r="AA24" s="1" t="str">
        <f aca="false">IF(AD24&lt;&gt;"",AD24,IF(Y24&lt;&gt;"",CONCATENATE(X24," ",Z24),""))</f>
        <v/>
      </c>
      <c r="AC24" s="4" t="str">
        <f aca="false">IF(F24&lt;&gt;"",COUNTIF(X$13:$X24,"Turning Point"),"")</f>
        <v/>
      </c>
      <c r="AD24" s="4" t="str">
        <f aca="false">IF(F24&lt;&gt;"",IF(AC24=$AB$14,IF(Z24&lt;&gt;"","","end"),""),"")</f>
        <v/>
      </c>
    </row>
    <row r="25" customFormat="false" ht="24" hidden="false" customHeight="true" outlineLevel="0" collapsed="false">
      <c r="C25" s="27" t="n">
        <v>12</v>
      </c>
      <c r="D25" s="37"/>
      <c r="E25" s="37"/>
      <c r="F25" s="37"/>
      <c r="G25" s="38"/>
      <c r="H25" s="38" t="str">
        <f aca="false">IF(AND(D25="",E25="",F25=""),"",Q25)</f>
        <v/>
      </c>
      <c r="I25" s="31" t="str">
        <f aca="false">IF(COUNT(C25:F25)&gt;1,C25,IF(J25&lt;&gt;"",COUNT($I$13:I24)+1,""))</f>
        <v/>
      </c>
      <c r="J25" s="39" t="str">
        <f aca="false">IF(COUNT(D25:F25)&gt;0,V25,"")</f>
        <v/>
      </c>
      <c r="K25" s="40" t="str">
        <f aca="false">IF(COUNT(D25:F25,I25)&gt;1,D24+E24-E25-F25,"")</f>
        <v/>
      </c>
      <c r="L25" s="41" t="str">
        <f aca="false">AA25</f>
        <v/>
      </c>
      <c r="P25" s="42" t="n">
        <f aca="false">Q25+E25+D25</f>
        <v>0</v>
      </c>
      <c r="Q25" s="42" t="n">
        <f aca="false">P24-E25-F25</f>
        <v>0</v>
      </c>
      <c r="S25" s="1" t="str">
        <f aca="false">IF(D25="",S24,G25)</f>
        <v/>
      </c>
      <c r="T25" s="1" t="str">
        <f aca="false">IF(D25="",T24,D25)</f>
        <v/>
      </c>
      <c r="U25" s="1" t="str">
        <f aca="false">IF(S25&lt;&gt;"",S25-T25,"")</f>
        <v/>
      </c>
      <c r="V25" s="1" t="e">
        <f aca="false">IF(Q25&lt;&gt;"",Q25-U24,"")</f>
        <v>#VALUE!</v>
      </c>
      <c r="W25" s="1" t="str">
        <f aca="false" t="array" ref="W25:W25">IF(J25&lt;&gt;"",_xlfn.IFS(V25&gt;0,"CUT",V25&lt;0,"FALL"),"")</f>
        <v/>
      </c>
      <c r="X25" s="1" t="str">
        <f aca="false">IF(SUM(D25)&lt;&gt;0,"Turning Point","")</f>
        <v/>
      </c>
      <c r="Y25" s="1" t="str">
        <f aca="false">IF(COUNT(D25:F25)&lt;&gt;0,COUNT(C$13:$C24)+1,"")</f>
        <v/>
      </c>
      <c r="Z25" s="1" t="str">
        <f aca="false">IF(X25="Turning Point",COUNT(Z$13:$Z24)+1,"")</f>
        <v/>
      </c>
      <c r="AA25" s="1" t="str">
        <f aca="false">IF(AD25&lt;&gt;"",AD25,IF(Y25&lt;&gt;"",CONCATENATE(X25," ",Z25),""))</f>
        <v/>
      </c>
      <c r="AC25" s="4" t="str">
        <f aca="false">IF(F25&lt;&gt;"",COUNTIF(X$13:$X25,"Turning Point"),"")</f>
        <v/>
      </c>
      <c r="AD25" s="4" t="str">
        <f aca="false">IF(F25&lt;&gt;"",IF(AC25=$AB$14,IF(Z25&lt;&gt;"","","end"),""),"")</f>
        <v/>
      </c>
    </row>
    <row r="26" customFormat="false" ht="24" hidden="false" customHeight="true" outlineLevel="0" collapsed="false">
      <c r="C26" s="36" t="n">
        <v>13</v>
      </c>
      <c r="D26" s="37"/>
      <c r="E26" s="37"/>
      <c r="F26" s="37"/>
      <c r="G26" s="38"/>
      <c r="H26" s="38" t="str">
        <f aca="false">IF(AND(D26="",E26="",F26=""),"",Q26)</f>
        <v/>
      </c>
      <c r="I26" s="31" t="str">
        <f aca="false">IF(COUNT(C26:F26)&gt;1,C26,IF(J26&lt;&gt;"",COUNT($I$13:I25)+1,""))</f>
        <v/>
      </c>
      <c r="J26" s="39" t="str">
        <f aca="false">IF(COUNT(D26:F26)&gt;0,V26,"")</f>
        <v/>
      </c>
      <c r="K26" s="40" t="str">
        <f aca="false">IF(COUNT(D26:F26,I26)&gt;1,D25+E25-E26-F26,"")</f>
        <v/>
      </c>
      <c r="L26" s="41" t="str">
        <f aca="false">AA26</f>
        <v/>
      </c>
      <c r="P26" s="42" t="n">
        <f aca="false">Q26+E26+D26</f>
        <v>0</v>
      </c>
      <c r="Q26" s="42" t="n">
        <f aca="false">P25-E26-F26</f>
        <v>0</v>
      </c>
      <c r="S26" s="1" t="str">
        <f aca="false">IF(D26="",S25,G26)</f>
        <v/>
      </c>
      <c r="T26" s="1" t="str">
        <f aca="false">IF(D26="",T25,D26)</f>
        <v/>
      </c>
      <c r="U26" s="1" t="str">
        <f aca="false">IF(S26&lt;&gt;"",S26-T26,"")</f>
        <v/>
      </c>
      <c r="V26" s="1" t="e">
        <f aca="false">IF(Q26&lt;&gt;"",Q26-U25,"")</f>
        <v>#VALUE!</v>
      </c>
      <c r="W26" s="1" t="str">
        <f aca="false" t="array" ref="W26:W26">IF(J26&lt;&gt;"",_xlfn.IFS(V26&gt;0,"CUT",V26&lt;0,"FALL"),"")</f>
        <v/>
      </c>
      <c r="X26" s="1" t="str">
        <f aca="false">IF(SUM(D26)&lt;&gt;0,"Turning Point","")</f>
        <v/>
      </c>
      <c r="Y26" s="1" t="str">
        <f aca="false">IF(COUNT(D26:F26)&lt;&gt;0,COUNT(C$13:$C25)+1,"")</f>
        <v/>
      </c>
      <c r="Z26" s="1" t="str">
        <f aca="false">IF(X26="Turning Point",COUNT(Z$13:$Z25)+1,"")</f>
        <v/>
      </c>
      <c r="AA26" s="1" t="str">
        <f aca="false">IF(AD26&lt;&gt;"",AD26,IF(Y26&lt;&gt;"",CONCATENATE(X26," ",Z26),""))</f>
        <v/>
      </c>
      <c r="AC26" s="4" t="str">
        <f aca="false">IF(F26&lt;&gt;"",COUNTIF(X$13:$X26,"Turning Point"),"")</f>
        <v/>
      </c>
      <c r="AD26" s="4" t="str">
        <f aca="false">IF(F26&lt;&gt;"",IF(AC26=$AB$14,IF(Z26&lt;&gt;"","","end"),""),"")</f>
        <v/>
      </c>
    </row>
    <row r="27" customFormat="false" ht="24" hidden="false" customHeight="true" outlineLevel="0" collapsed="false">
      <c r="C27" s="27" t="n">
        <v>14</v>
      </c>
      <c r="D27" s="37"/>
      <c r="E27" s="37"/>
      <c r="F27" s="37"/>
      <c r="G27" s="38"/>
      <c r="H27" s="38" t="str">
        <f aca="false">IF(AND(D27="",E27="",F27=""),"",Q27)</f>
        <v/>
      </c>
      <c r="I27" s="31" t="str">
        <f aca="false">IF(COUNT(C27:F27)&gt;1,C27,IF(J27&lt;&gt;"",COUNT($I$13:I26)+1,""))</f>
        <v/>
      </c>
      <c r="J27" s="39" t="str">
        <f aca="false">IF(COUNT(D27:F27)&gt;0,V27,"")</f>
        <v/>
      </c>
      <c r="K27" s="40" t="str">
        <f aca="false">IF(COUNT(D27:F27,I27)&gt;1,D26+E26-E27-F27,"")</f>
        <v/>
      </c>
      <c r="L27" s="41" t="str">
        <f aca="false">AA27</f>
        <v/>
      </c>
      <c r="P27" s="42" t="n">
        <f aca="false">Q27+E27+D27</f>
        <v>0</v>
      </c>
      <c r="Q27" s="42" t="n">
        <f aca="false">P26-E27-F27</f>
        <v>0</v>
      </c>
      <c r="S27" s="1" t="str">
        <f aca="false">IF(D27="",S26,G27)</f>
        <v/>
      </c>
      <c r="T27" s="1" t="str">
        <f aca="false">IF(D27="",T26,D27)</f>
        <v/>
      </c>
      <c r="U27" s="1" t="str">
        <f aca="false">IF(S27&lt;&gt;"",S27-T27,"")</f>
        <v/>
      </c>
      <c r="V27" s="1" t="e">
        <f aca="false">IF(Q27&lt;&gt;"",Q27-U26,"")</f>
        <v>#VALUE!</v>
      </c>
      <c r="W27" s="1" t="str">
        <f aca="false" t="array" ref="W27:W27">IF(J27&lt;&gt;"",_xlfn.IFS(V27&gt;0,"CUT",V27&lt;0,"FALL"),"")</f>
        <v/>
      </c>
      <c r="X27" s="1" t="str">
        <f aca="false">IF(SUM(D27)&lt;&gt;0,"Turning Point","")</f>
        <v/>
      </c>
      <c r="Y27" s="1" t="str">
        <f aca="false">IF(COUNT(D27:F27)&lt;&gt;0,COUNT(C$13:$C26)+1,"")</f>
        <v/>
      </c>
      <c r="Z27" s="1" t="str">
        <f aca="false">IF(X27="Turning Point",COUNT(Z$13:$Z26)+1,"")</f>
        <v/>
      </c>
      <c r="AA27" s="1" t="str">
        <f aca="false">IF(AD27&lt;&gt;"",AD27,IF(Y27&lt;&gt;"",CONCATENATE(X27," ",Z27),""))</f>
        <v/>
      </c>
      <c r="AC27" s="4" t="str">
        <f aca="false">IF(F27&lt;&gt;"",COUNTIF(X$13:$X27,"Turning Point"),"")</f>
        <v/>
      </c>
      <c r="AD27" s="4" t="str">
        <f aca="false">IF(F27&lt;&gt;"",IF(AC27=$AB$14,IF(Z27&lt;&gt;"","","end"),""),"")</f>
        <v/>
      </c>
    </row>
    <row r="28" customFormat="false" ht="24" hidden="false" customHeight="true" outlineLevel="0" collapsed="false">
      <c r="C28" s="36" t="n">
        <v>15</v>
      </c>
      <c r="D28" s="37"/>
      <c r="E28" s="37"/>
      <c r="F28" s="37"/>
      <c r="G28" s="38"/>
      <c r="H28" s="38" t="str">
        <f aca="false">IF(AND(D28="",E28="",F28=""),"",Q28)</f>
        <v/>
      </c>
      <c r="I28" s="31" t="str">
        <f aca="false">IF(COUNT(C28:F28)&gt;1,C28,IF(J28&lt;&gt;"",COUNT($I$13:I27)+1,""))</f>
        <v/>
      </c>
      <c r="J28" s="39" t="str">
        <f aca="false">IF(COUNT(D28:F28)&gt;0,V28,"")</f>
        <v/>
      </c>
      <c r="K28" s="40" t="str">
        <f aca="false">IF(COUNT(D28:F28,I28)&gt;1,D27+E27-E28-F28,"")</f>
        <v/>
      </c>
      <c r="L28" s="41" t="str">
        <f aca="false">AA28</f>
        <v/>
      </c>
      <c r="P28" s="42" t="n">
        <f aca="false">Q28+E28+D28</f>
        <v>0</v>
      </c>
      <c r="Q28" s="42" t="n">
        <f aca="false">P27-E28-F28</f>
        <v>0</v>
      </c>
      <c r="S28" s="1" t="str">
        <f aca="false">IF(D28="",S27,G28)</f>
        <v/>
      </c>
      <c r="T28" s="1" t="str">
        <f aca="false">IF(D28="",T27,D28)</f>
        <v/>
      </c>
      <c r="U28" s="1" t="str">
        <f aca="false">IF(S28&lt;&gt;"",S28-T28,"")</f>
        <v/>
      </c>
      <c r="V28" s="1" t="e">
        <f aca="false">IF(Q28&lt;&gt;"",Q28-U27,"")</f>
        <v>#VALUE!</v>
      </c>
      <c r="W28" s="1" t="str">
        <f aca="false" t="array" ref="W28:W28">IF(J28&lt;&gt;"",_xlfn.IFS(V28&gt;0,"CUT",V28&lt;0,"FALL"),"")</f>
        <v/>
      </c>
      <c r="X28" s="1" t="str">
        <f aca="false">IF(SUM(D28)&lt;&gt;0,"Turning Point","")</f>
        <v/>
      </c>
      <c r="Y28" s="1" t="str">
        <f aca="false">IF(COUNT(D28:F28)&lt;&gt;0,COUNT(C$13:$C27)+1,"")</f>
        <v/>
      </c>
      <c r="Z28" s="1" t="str">
        <f aca="false">IF(X28="Turning Point",COUNT(Z$13:$Z27)+1,"")</f>
        <v/>
      </c>
      <c r="AA28" s="1" t="str">
        <f aca="false">IF(AD28&lt;&gt;"",AD28,IF(Y28&lt;&gt;"",CONCATENATE(X28," ",Z28),""))</f>
        <v/>
      </c>
      <c r="AC28" s="4" t="str">
        <f aca="false">IF(F28&lt;&gt;"",COUNTIF(X$13:$X28,"Turning Point"),"")</f>
        <v/>
      </c>
      <c r="AD28" s="4" t="str">
        <f aca="false">IF(F28&lt;&gt;"",IF(AC28=$AB$14,IF(Z28&lt;&gt;"","","end"),""),"")</f>
        <v/>
      </c>
    </row>
    <row r="29" customFormat="false" ht="24" hidden="false" customHeight="true" outlineLevel="0" collapsed="false">
      <c r="C29" s="27" t="n">
        <v>16</v>
      </c>
      <c r="D29" s="37"/>
      <c r="E29" s="37"/>
      <c r="F29" s="37"/>
      <c r="G29" s="38"/>
      <c r="H29" s="38" t="str">
        <f aca="false">IF(AND(D29="",E29="",F29=""),"",Q29)</f>
        <v/>
      </c>
      <c r="I29" s="31" t="str">
        <f aca="false">IF(COUNT(C29:F29)&gt;1,C29,IF(J29&lt;&gt;"",COUNT($I$13:I28)+1,""))</f>
        <v/>
      </c>
      <c r="J29" s="39" t="str">
        <f aca="false">IF(COUNT(D29:F29)&gt;0,V29,"")</f>
        <v/>
      </c>
      <c r="K29" s="40" t="str">
        <f aca="false">IF(COUNT(D29:F29,I29)&gt;1,D28+E28-E29-F29,"")</f>
        <v/>
      </c>
      <c r="L29" s="41" t="str">
        <f aca="false">AA29</f>
        <v/>
      </c>
      <c r="P29" s="42" t="n">
        <f aca="false">Q29+E29+D29</f>
        <v>0</v>
      </c>
      <c r="Q29" s="42" t="n">
        <f aca="false">P28-E29-F29</f>
        <v>0</v>
      </c>
      <c r="S29" s="1" t="str">
        <f aca="false">IF(D29="",S28,G29)</f>
        <v/>
      </c>
      <c r="T29" s="1" t="str">
        <f aca="false">IF(D29="",T28,D29)</f>
        <v/>
      </c>
      <c r="U29" s="1" t="str">
        <f aca="false">IF(S29&lt;&gt;"",S29-T29,"")</f>
        <v/>
      </c>
      <c r="V29" s="1" t="e">
        <f aca="false">IF(Q29&lt;&gt;"",Q29-U28,"")</f>
        <v>#VALUE!</v>
      </c>
      <c r="W29" s="1" t="str">
        <f aca="false" t="array" ref="W29:W29">IF(J29&lt;&gt;"",_xlfn.IFS(V29&gt;0,"CUT",V29&lt;0,"FALL"),"")</f>
        <v/>
      </c>
      <c r="X29" s="1" t="str">
        <f aca="false">IF(SUM(D29)&lt;&gt;0,"Turning Point","")</f>
        <v/>
      </c>
      <c r="Y29" s="1" t="str">
        <f aca="false">IF(COUNT(D29:F29)&lt;&gt;0,COUNT(C$13:$C28)+1,"")</f>
        <v/>
      </c>
      <c r="Z29" s="1" t="str">
        <f aca="false">IF(X29="Turning Point",COUNT(Z$13:$Z28)+1,"")</f>
        <v/>
      </c>
      <c r="AA29" s="1" t="str">
        <f aca="false">IF(AD29&lt;&gt;"",AD29,IF(Y29&lt;&gt;"",CONCATENATE(X29," ",Z29),""))</f>
        <v/>
      </c>
      <c r="AC29" s="4" t="str">
        <f aca="false">IF(F29&lt;&gt;"",COUNTIF(X$13:$X29,"Turning Point"),"")</f>
        <v/>
      </c>
      <c r="AD29" s="4" t="str">
        <f aca="false">IF(F29&lt;&gt;"",IF(AC29=$AB$14,IF(Z29&lt;&gt;"","","end"),""),"")</f>
        <v/>
      </c>
    </row>
    <row r="30" customFormat="false" ht="24" hidden="false" customHeight="true" outlineLevel="0" collapsed="false">
      <c r="C30" s="36" t="n">
        <v>17</v>
      </c>
      <c r="D30" s="37"/>
      <c r="E30" s="37"/>
      <c r="F30" s="37"/>
      <c r="G30" s="38"/>
      <c r="H30" s="38" t="str">
        <f aca="false">IF(AND(D30="",E30="",F30=""),"",Q30)</f>
        <v/>
      </c>
      <c r="I30" s="31" t="str">
        <f aca="false">IF(COUNT(C30:F30)&gt;1,C30,IF(J30&lt;&gt;"",COUNT($I$13:I29)+1,""))</f>
        <v/>
      </c>
      <c r="J30" s="39" t="str">
        <f aca="false">IF(COUNT(D30:F30)&gt;0,V30,"")</f>
        <v/>
      </c>
      <c r="K30" s="40" t="str">
        <f aca="false">IF(COUNT(D30:F30,I30)&gt;1,D29+E29-E30-F30,"")</f>
        <v/>
      </c>
      <c r="L30" s="41" t="str">
        <f aca="false">AA30</f>
        <v/>
      </c>
      <c r="P30" s="42" t="n">
        <f aca="false">Q30+E30+D30</f>
        <v>0</v>
      </c>
      <c r="Q30" s="42" t="n">
        <f aca="false">P29-E30-F30</f>
        <v>0</v>
      </c>
      <c r="S30" s="1" t="str">
        <f aca="false">IF(D30="",S29,G30)</f>
        <v/>
      </c>
      <c r="T30" s="1" t="str">
        <f aca="false">IF(D30="",T29,D30)</f>
        <v/>
      </c>
      <c r="U30" s="1" t="str">
        <f aca="false">IF(S30&lt;&gt;"",S30-T30,"")</f>
        <v/>
      </c>
      <c r="V30" s="1" t="e">
        <f aca="false">IF(Q30&lt;&gt;"",Q30-U29,"")</f>
        <v>#VALUE!</v>
      </c>
      <c r="W30" s="1" t="str">
        <f aca="false" t="array" ref="W30:W30">IF(J30&lt;&gt;"",_xlfn.IFS(V30&gt;0,"CUT",V30&lt;0,"FALL"),"")</f>
        <v/>
      </c>
      <c r="X30" s="1" t="str">
        <f aca="false">IF(SUM(D30)&lt;&gt;0,"Turning Point","")</f>
        <v/>
      </c>
      <c r="Y30" s="1" t="str">
        <f aca="false">IF(COUNT(D30:F30)&lt;&gt;0,COUNT(C$13:$C29)+1,"")</f>
        <v/>
      </c>
      <c r="Z30" s="1" t="str">
        <f aca="false">IF(X30="Turning Point",COUNT(Z$13:$Z29)+1,"")</f>
        <v/>
      </c>
      <c r="AA30" s="1" t="str">
        <f aca="false">IF(AD30&lt;&gt;"",AD30,IF(Y30&lt;&gt;"",CONCATENATE(X30," ",Z30),""))</f>
        <v/>
      </c>
      <c r="AC30" s="4" t="str">
        <f aca="false">IF(F30&lt;&gt;"",COUNTIF(X$13:$X30,"Turning Point"),"")</f>
        <v/>
      </c>
      <c r="AD30" s="4" t="str">
        <f aca="false">IF(F30&lt;&gt;"",IF(AC30=$AB$14,IF(Z30&lt;&gt;"","","end"),""),"")</f>
        <v/>
      </c>
    </row>
    <row r="31" customFormat="false" ht="24" hidden="false" customHeight="true" outlineLevel="0" collapsed="false">
      <c r="C31" s="27" t="n">
        <v>18</v>
      </c>
      <c r="D31" s="37"/>
      <c r="E31" s="37"/>
      <c r="F31" s="37"/>
      <c r="G31" s="38"/>
      <c r="H31" s="38" t="str">
        <f aca="false">IF(AND(D31="",E31="",F31=""),"",Q31)</f>
        <v/>
      </c>
      <c r="I31" s="31" t="str">
        <f aca="false">IF(COUNT(C31:F31)&gt;1,C31,IF(J31&lt;&gt;"",COUNT($I$13:I30)+1,""))</f>
        <v/>
      </c>
      <c r="J31" s="39" t="str">
        <f aca="false">IF(COUNT(D31:F31)&gt;0,V31,"")</f>
        <v/>
      </c>
      <c r="K31" s="40" t="str">
        <f aca="false">IF(COUNT(D31:F31,I31)&gt;1,D30+E30-E31-F31,"")</f>
        <v/>
      </c>
      <c r="L31" s="41" t="str">
        <f aca="false">AA31</f>
        <v/>
      </c>
      <c r="P31" s="42" t="n">
        <f aca="false">Q31+E31+D31</f>
        <v>0</v>
      </c>
      <c r="Q31" s="42" t="n">
        <f aca="false">P30-E31-F31</f>
        <v>0</v>
      </c>
      <c r="S31" s="1" t="str">
        <f aca="false">IF(D31="",S30,G31)</f>
        <v/>
      </c>
      <c r="T31" s="1" t="str">
        <f aca="false">IF(D31="",T30,D31)</f>
        <v/>
      </c>
      <c r="U31" s="1" t="str">
        <f aca="false">IF(S31&lt;&gt;"",S31-T31,"")</f>
        <v/>
      </c>
      <c r="V31" s="1" t="e">
        <f aca="false">IF(Q31&lt;&gt;"",Q31-U30,"")</f>
        <v>#VALUE!</v>
      </c>
      <c r="W31" s="1" t="str">
        <f aca="false" t="array" ref="W31:W31">IF(J31&lt;&gt;"",_xlfn.IFS(V31&gt;0,"CUT",V31&lt;0,"FALL"),"")</f>
        <v/>
      </c>
      <c r="X31" s="1" t="str">
        <f aca="false">IF(SUM(D31)&lt;&gt;0,"Turning Point","")</f>
        <v/>
      </c>
      <c r="Y31" s="1" t="str">
        <f aca="false">IF(COUNT(D31:F31)&lt;&gt;0,COUNT(C$13:$C30)+1,"")</f>
        <v/>
      </c>
      <c r="Z31" s="1" t="str">
        <f aca="false">IF(X31="Turning Point",COUNT(Z$13:$Z30)+1,"")</f>
        <v/>
      </c>
      <c r="AA31" s="1" t="str">
        <f aca="false">IF(AD31&lt;&gt;"",AD31,IF(Y31&lt;&gt;"",CONCATENATE(X31," ",Z31),""))</f>
        <v/>
      </c>
      <c r="AC31" s="4" t="str">
        <f aca="false">IF(F31&lt;&gt;"",COUNTIF(X$13:$X31,"Turning Point"),"")</f>
        <v/>
      </c>
      <c r="AD31" s="4" t="str">
        <f aca="false">IF(F31&lt;&gt;"",IF(AC31=$AB$14,IF(Z31&lt;&gt;"","","end"),""),"")</f>
        <v/>
      </c>
    </row>
    <row r="32" customFormat="false" ht="24" hidden="false" customHeight="true" outlineLevel="0" collapsed="false">
      <c r="C32" s="36" t="n">
        <v>19</v>
      </c>
      <c r="D32" s="37"/>
      <c r="E32" s="37"/>
      <c r="F32" s="37"/>
      <c r="G32" s="38"/>
      <c r="H32" s="38" t="str">
        <f aca="false">IF(AND(D32="",E32="",F32=""),"",Q32)</f>
        <v/>
      </c>
      <c r="I32" s="31" t="str">
        <f aca="false">IF(COUNT(C32:F32)&gt;1,C32,IF(J32&lt;&gt;"",COUNT($I$13:I31)+1,""))</f>
        <v/>
      </c>
      <c r="J32" s="39" t="str">
        <f aca="false">IF(COUNT(D32:F32)&gt;0,V32,"")</f>
        <v/>
      </c>
      <c r="K32" s="40" t="str">
        <f aca="false">IF(COUNT(D32:F32,I32)&gt;1,D31+E31-E32-F32,"")</f>
        <v/>
      </c>
      <c r="L32" s="41" t="str">
        <f aca="false">AA32</f>
        <v/>
      </c>
      <c r="P32" s="42" t="n">
        <f aca="false">Q32+E32+D32</f>
        <v>0</v>
      </c>
      <c r="Q32" s="42" t="n">
        <f aca="false">P31-E32-F32</f>
        <v>0</v>
      </c>
      <c r="S32" s="1" t="str">
        <f aca="false">IF(D32="",S31,G32)</f>
        <v/>
      </c>
      <c r="T32" s="1" t="str">
        <f aca="false">IF(D32="",T31,D32)</f>
        <v/>
      </c>
      <c r="U32" s="1" t="str">
        <f aca="false">IF(S32&lt;&gt;"",S32-T32,"")</f>
        <v/>
      </c>
      <c r="V32" s="1" t="e">
        <f aca="false">IF(Q32&lt;&gt;"",Q32-U31,"")</f>
        <v>#VALUE!</v>
      </c>
      <c r="W32" s="1" t="str">
        <f aca="false" t="array" ref="W32:W32">IF(J32&lt;&gt;"",_xlfn.IFS(V32&gt;0,"CUT",V32&lt;0,"FALL"),"")</f>
        <v/>
      </c>
      <c r="X32" s="1" t="str">
        <f aca="false">IF(SUM(D32)&lt;&gt;0,"Turning Point","")</f>
        <v/>
      </c>
      <c r="Y32" s="1" t="str">
        <f aca="false">IF(COUNT(D32:F32)&lt;&gt;0,COUNT(C$13:$C31)+1,"")</f>
        <v/>
      </c>
      <c r="Z32" s="1" t="str">
        <f aca="false">IF(X32="Turning Point",COUNT(Z$13:$Z31)+1,"")</f>
        <v/>
      </c>
      <c r="AA32" s="1" t="str">
        <f aca="false">IF(AD32&lt;&gt;"",AD32,IF(Y32&lt;&gt;"",CONCATENATE(X32," ",Z32),""))</f>
        <v/>
      </c>
      <c r="AC32" s="4" t="str">
        <f aca="false">IF(F32&lt;&gt;"",COUNTIF(X$13:$X32,"Turning Point"),"")</f>
        <v/>
      </c>
      <c r="AD32" s="4" t="str">
        <f aca="false">IF(F32&lt;&gt;"",IF(AC32=$AB$14,IF(Z32&lt;&gt;"","","end"),""),"")</f>
        <v/>
      </c>
    </row>
    <row r="33" customFormat="false" ht="24" hidden="false" customHeight="true" outlineLevel="0" collapsed="false">
      <c r="C33" s="27" t="n">
        <v>20</v>
      </c>
      <c r="D33" s="37"/>
      <c r="E33" s="37"/>
      <c r="F33" s="37"/>
      <c r="G33" s="38"/>
      <c r="H33" s="38" t="str">
        <f aca="false">IF(AND(D33="",E33="",F33=""),"",Q33)</f>
        <v/>
      </c>
      <c r="I33" s="31" t="str">
        <f aca="false">IF(COUNT(C33:F33)&gt;1,C33,IF(J33&lt;&gt;"",COUNT($I$13:I32)+1,""))</f>
        <v/>
      </c>
      <c r="J33" s="39" t="str">
        <f aca="false">IF(COUNT(D33:F33)&gt;0,V33,"")</f>
        <v/>
      </c>
      <c r="K33" s="40" t="str">
        <f aca="false">IF(COUNT(D33:F33,I33)&gt;1,D32+E32-E33-F33,"")</f>
        <v/>
      </c>
      <c r="L33" s="41" t="str">
        <f aca="false">AA33</f>
        <v/>
      </c>
      <c r="P33" s="42" t="n">
        <f aca="false">Q33+E33+D33</f>
        <v>0</v>
      </c>
      <c r="Q33" s="42" t="n">
        <f aca="false">P32-E33-F33</f>
        <v>0</v>
      </c>
      <c r="S33" s="1" t="str">
        <f aca="false">IF(D33="",S32,G33)</f>
        <v/>
      </c>
      <c r="T33" s="1" t="str">
        <f aca="false">IF(D33="",T32,D33)</f>
        <v/>
      </c>
      <c r="U33" s="1" t="str">
        <f aca="false">IF(S33&lt;&gt;"",S33-T33,"")</f>
        <v/>
      </c>
      <c r="V33" s="1" t="e">
        <f aca="false">IF(Q33&lt;&gt;"",Q33-U32,"")</f>
        <v>#VALUE!</v>
      </c>
      <c r="W33" s="1" t="str">
        <f aca="false" t="array" ref="W33:W33">IF(J33&lt;&gt;"",_xlfn.IFS(V33&gt;0,"CUT",V33&lt;0,"FALL"),"")</f>
        <v/>
      </c>
      <c r="X33" s="1" t="str">
        <f aca="false">IF(SUM(D33)&lt;&gt;0,"Turning Point","")</f>
        <v/>
      </c>
      <c r="Y33" s="1" t="str">
        <f aca="false">IF(COUNT(D33:F33)&lt;&gt;0,COUNT(C$13:$C32)+1,"")</f>
        <v/>
      </c>
      <c r="Z33" s="1" t="str">
        <f aca="false">IF(X33="Turning Point",COUNT(Z$13:$Z32)+1,"")</f>
        <v/>
      </c>
      <c r="AA33" s="1" t="str">
        <f aca="false">IF(AD33&lt;&gt;"",AD33,IF(Y33&lt;&gt;"",CONCATENATE(X33," ",Z33),""))</f>
        <v/>
      </c>
      <c r="AC33" s="4" t="str">
        <f aca="false">IF(F33&lt;&gt;"",COUNTIF(X$13:$X33,"Turning Point"),"")</f>
        <v/>
      </c>
      <c r="AD33" s="4" t="str">
        <f aca="false">IF(F33&lt;&gt;"",IF(AC33=$AB$14,IF(Z33&lt;&gt;"","","end"),""),"")</f>
        <v/>
      </c>
    </row>
    <row r="34" customFormat="false" ht="24" hidden="false" customHeight="true" outlineLevel="0" collapsed="false">
      <c r="C34" s="36" t="n">
        <v>21</v>
      </c>
      <c r="D34" s="37"/>
      <c r="E34" s="37"/>
      <c r="F34" s="37"/>
      <c r="G34" s="38"/>
      <c r="H34" s="38" t="str">
        <f aca="false">IF(AND(D34="",E34="",F34=""),"",Q34)</f>
        <v/>
      </c>
      <c r="I34" s="31" t="str">
        <f aca="false">IF(COUNT(C34:F34)&gt;1,C34,IF(J34&lt;&gt;"",COUNT($I$13:I33)+1,""))</f>
        <v/>
      </c>
      <c r="J34" s="39" t="str">
        <f aca="false">IF(COUNT(D34:F34)&gt;0,V34,"")</f>
        <v/>
      </c>
      <c r="K34" s="40" t="str">
        <f aca="false">IF(COUNT(D34:F34,I34)&gt;1,D33+E33-E34-F34,"")</f>
        <v/>
      </c>
      <c r="L34" s="41" t="str">
        <f aca="false">AA34</f>
        <v/>
      </c>
      <c r="P34" s="42" t="n">
        <f aca="false">Q34+E34+D34</f>
        <v>0</v>
      </c>
      <c r="Q34" s="42" t="n">
        <f aca="false">P33-E34-F34</f>
        <v>0</v>
      </c>
      <c r="S34" s="1" t="str">
        <f aca="false">IF(D34="",S33,G34)</f>
        <v/>
      </c>
      <c r="T34" s="1" t="str">
        <f aca="false">IF(D34="",T33,D34)</f>
        <v/>
      </c>
      <c r="U34" s="1" t="str">
        <f aca="false">IF(S34&lt;&gt;"",S34-T34,"")</f>
        <v/>
      </c>
      <c r="V34" s="1" t="e">
        <f aca="false">IF(Q34&lt;&gt;"",Q34-U33,"")</f>
        <v>#VALUE!</v>
      </c>
      <c r="W34" s="1" t="str">
        <f aca="false" t="array" ref="W34:W34">IF(J34&lt;&gt;"",_xlfn.IFS(V34&gt;0,"CUT",V34&lt;0,"FALL"),"")</f>
        <v/>
      </c>
      <c r="X34" s="1" t="str">
        <f aca="false">IF(SUM(D34)&lt;&gt;0,"Turning Point","")</f>
        <v/>
      </c>
      <c r="Y34" s="1" t="str">
        <f aca="false">IF(COUNT(D34:F34)&lt;&gt;0,COUNT(C$13:$C33)+1,"")</f>
        <v/>
      </c>
      <c r="Z34" s="1" t="str">
        <f aca="false">IF(X34="Turning Point",COUNT(Z$13:$Z33)+1,"")</f>
        <v/>
      </c>
      <c r="AA34" s="1" t="str">
        <f aca="false">IF(AD34&lt;&gt;"",AD34,IF(Y34&lt;&gt;"",CONCATENATE(X34," ",Z34),""))</f>
        <v/>
      </c>
      <c r="AD34" s="4" t="str">
        <f aca="false">IF(F34&lt;&gt;"",IF(AC34=$AB$14,IF(Z34&lt;&gt;"","","end"),""),"")</f>
        <v/>
      </c>
    </row>
    <row r="35" customFormat="false" ht="24" hidden="false" customHeight="true" outlineLevel="0" collapsed="false">
      <c r="C35" s="27" t="n">
        <v>22</v>
      </c>
      <c r="D35" s="37"/>
      <c r="E35" s="37"/>
      <c r="F35" s="37"/>
      <c r="G35" s="38"/>
      <c r="H35" s="38" t="str">
        <f aca="false">IF(AND(D35="",E35="",F35=""),"",Q35)</f>
        <v/>
      </c>
      <c r="I35" s="31" t="str">
        <f aca="false">IF(COUNT(C35:F35)&gt;1,C35,IF(J35&lt;&gt;"",COUNT($I$13:I34)+1,""))</f>
        <v/>
      </c>
      <c r="J35" s="39" t="str">
        <f aca="false">IF(COUNT(D35:F35)&gt;0,V35,"")</f>
        <v/>
      </c>
      <c r="K35" s="40" t="str">
        <f aca="false">IF(COUNT(D35:F35,I35)&gt;1,D34+E34-E35-F35,"")</f>
        <v/>
      </c>
      <c r="L35" s="41" t="str">
        <f aca="false">AA35</f>
        <v/>
      </c>
      <c r="P35" s="42" t="n">
        <f aca="false">Q35+E35+D35</f>
        <v>0</v>
      </c>
      <c r="Q35" s="42" t="n">
        <f aca="false">P34-E35-F35</f>
        <v>0</v>
      </c>
      <c r="S35" s="1" t="str">
        <f aca="false">IF(D35="",S34,G35)</f>
        <v/>
      </c>
      <c r="T35" s="1" t="str">
        <f aca="false">IF(D35="",T34,D35)</f>
        <v/>
      </c>
      <c r="U35" s="1" t="str">
        <f aca="false">IF(S35&lt;&gt;"",S35-T35,"")</f>
        <v/>
      </c>
      <c r="V35" s="1" t="e">
        <f aca="false">IF(Q35&lt;&gt;"",Q35-U34,"")</f>
        <v>#VALUE!</v>
      </c>
      <c r="W35" s="1" t="str">
        <f aca="false" t="array" ref="W35:W35">IF(J35&lt;&gt;"",_xlfn.IFS(V35&gt;0,"CUT",V35&lt;0,"FALL"),"")</f>
        <v/>
      </c>
      <c r="X35" s="1" t="str">
        <f aca="false">IF(SUM(D35)&lt;&gt;0,"Turning Point","")</f>
        <v/>
      </c>
      <c r="Y35" s="1" t="str">
        <f aca="false">IF(COUNT(D35:F35)&lt;&gt;0,COUNT(C$13:$C34)+1,"")</f>
        <v/>
      </c>
      <c r="Z35" s="1" t="str">
        <f aca="false">IF(X35="Turning Point",COUNT(Z$13:$Z34)+1,"")</f>
        <v/>
      </c>
      <c r="AA35" s="1" t="str">
        <f aca="false">IF(AD35&lt;&gt;"",AD35,IF(Y35&lt;&gt;"",CONCATENATE(X35," ",Z35),""))</f>
        <v/>
      </c>
      <c r="AD35" s="4" t="str">
        <f aca="false">IF(F35&lt;&gt;"",IF(AC35=$AB$14,IF(Z35&lt;&gt;"","","end"),""),"")</f>
        <v/>
      </c>
    </row>
    <row r="36" customFormat="false" ht="24" hidden="false" customHeight="true" outlineLevel="0" collapsed="false">
      <c r="C36" s="36" t="n">
        <v>23</v>
      </c>
      <c r="D36" s="37"/>
      <c r="E36" s="37"/>
      <c r="F36" s="37"/>
      <c r="G36" s="38"/>
      <c r="H36" s="38" t="str">
        <f aca="false">IF(AND(D36="",E36="",F36=""),"",Q36)</f>
        <v/>
      </c>
      <c r="I36" s="31" t="str">
        <f aca="false">IF(COUNT(C36:F36)&gt;1,C36,IF(J36&lt;&gt;"",COUNT($I$13:I35)+1,""))</f>
        <v/>
      </c>
      <c r="J36" s="39" t="str">
        <f aca="false">IF(COUNT(D36:F36)&gt;0,V36,"")</f>
        <v/>
      </c>
      <c r="K36" s="40" t="str">
        <f aca="false">IF(COUNT(D36:F36,I36)&gt;1,D35+E35-E36-F36,"")</f>
        <v/>
      </c>
      <c r="L36" s="41" t="str">
        <f aca="false">AA36</f>
        <v/>
      </c>
      <c r="P36" s="42" t="n">
        <f aca="false">Q36+E36+D36</f>
        <v>0</v>
      </c>
      <c r="Q36" s="42" t="n">
        <f aca="false">P35-E36-F36</f>
        <v>0</v>
      </c>
      <c r="S36" s="1" t="str">
        <f aca="false">IF(D36="",S35,G36)</f>
        <v/>
      </c>
      <c r="T36" s="1" t="str">
        <f aca="false">IF(D36="",T35,D36)</f>
        <v/>
      </c>
      <c r="U36" s="1" t="str">
        <f aca="false">IF(S36&lt;&gt;"",S36-T36,"")</f>
        <v/>
      </c>
      <c r="V36" s="1" t="e">
        <f aca="false">IF(Q36&lt;&gt;"",Q36-U35,"")</f>
        <v>#VALUE!</v>
      </c>
      <c r="W36" s="1" t="str">
        <f aca="false" t="array" ref="W36:W36">IF(J36&lt;&gt;"",_xlfn.IFS(V36&gt;0,"CUT",V36&lt;0,"FALL"),"")</f>
        <v/>
      </c>
      <c r="X36" s="1" t="str">
        <f aca="false">IF(SUM(D36)&lt;&gt;0,"Turning Point","")</f>
        <v/>
      </c>
      <c r="Y36" s="1" t="str">
        <f aca="false">IF(COUNT(D36:F36)&lt;&gt;0,COUNT(C$13:$C35)+1,"")</f>
        <v/>
      </c>
      <c r="Z36" s="1" t="str">
        <f aca="false">IF(X36="Turning Point",COUNT(Z$13:$Z35)+1,"")</f>
        <v/>
      </c>
      <c r="AA36" s="1" t="str">
        <f aca="false">IF(AD36&lt;&gt;"",AD36,IF(Y36&lt;&gt;"",CONCATENATE(X36," ",Z36),""))</f>
        <v/>
      </c>
      <c r="AD36" s="4" t="str">
        <f aca="false">IF(F36&lt;&gt;"",IF(AC36=$AB$14,IF(Z36&lt;&gt;"","","end"),""),"")</f>
        <v/>
      </c>
    </row>
    <row r="37" customFormat="false" ht="24" hidden="false" customHeight="true" outlineLevel="0" collapsed="false">
      <c r="C37" s="27" t="n">
        <v>24</v>
      </c>
      <c r="D37" s="37"/>
      <c r="E37" s="37"/>
      <c r="F37" s="37"/>
      <c r="G37" s="38"/>
      <c r="H37" s="38" t="str">
        <f aca="false">IF(AND(D37="",E37="",F37=""),"",Q37)</f>
        <v/>
      </c>
      <c r="I37" s="31" t="str">
        <f aca="false">IF(COUNT(C37:F37)&gt;1,C37,IF(J37&lt;&gt;"",COUNT($I$13:I36)+1,""))</f>
        <v/>
      </c>
      <c r="J37" s="39" t="str">
        <f aca="false">IF(COUNT(D37:F37)&gt;0,V37,"")</f>
        <v/>
      </c>
      <c r="K37" s="40" t="str">
        <f aca="false">IF(COUNT(D37:F37,I37)&gt;1,D36+E36-E37-F37,"")</f>
        <v/>
      </c>
      <c r="L37" s="41" t="str">
        <f aca="false">AA37</f>
        <v/>
      </c>
      <c r="P37" s="42" t="n">
        <f aca="false">Q37+E37+D37</f>
        <v>0</v>
      </c>
      <c r="Q37" s="42" t="n">
        <f aca="false">P36-E37-F37</f>
        <v>0</v>
      </c>
      <c r="S37" s="1" t="str">
        <f aca="false">IF(D37="",S36,G37)</f>
        <v/>
      </c>
      <c r="T37" s="1" t="str">
        <f aca="false">IF(D37="",T36,D37)</f>
        <v/>
      </c>
      <c r="U37" s="1" t="str">
        <f aca="false">IF(S37&lt;&gt;"",S37-T37,"")</f>
        <v/>
      </c>
      <c r="V37" s="1" t="e">
        <f aca="false">IF(Q37&lt;&gt;"",Q37-U36,"")</f>
        <v>#VALUE!</v>
      </c>
      <c r="W37" s="1" t="str">
        <f aca="false" t="array" ref="W37:W37">IF(J37&lt;&gt;"",_xlfn.IFS(V37&gt;0,"CUT",V37&lt;0,"FALL"),"")</f>
        <v/>
      </c>
      <c r="X37" s="1" t="str">
        <f aca="false">IF(SUM(D37)&lt;&gt;0,"Turning Point","")</f>
        <v/>
      </c>
      <c r="Y37" s="1" t="str">
        <f aca="false">IF(COUNT(D37:F37)&lt;&gt;0,COUNT(C$13:$C36)+1,"")</f>
        <v/>
      </c>
      <c r="Z37" s="1" t="str">
        <f aca="false">IF(X37="Turning Point",COUNT(Z$13:$Z36)+1,"")</f>
        <v/>
      </c>
      <c r="AA37" s="1" t="str">
        <f aca="false">IF(AD37&lt;&gt;"",AD37,IF(Y37&lt;&gt;"",CONCATENATE(X37," ",Z37),""))</f>
        <v/>
      </c>
      <c r="AD37" s="4" t="str">
        <f aca="false">IF(F37&lt;&gt;"",IF(AC37=$AB$14,IF(Z37&lt;&gt;"","","end"),""),"")</f>
        <v/>
      </c>
    </row>
    <row r="38" customFormat="false" ht="24" hidden="false" customHeight="true" outlineLevel="0" collapsed="false">
      <c r="C38" s="36" t="n">
        <v>25</v>
      </c>
      <c r="D38" s="37"/>
      <c r="E38" s="37"/>
      <c r="F38" s="37"/>
      <c r="G38" s="38"/>
      <c r="H38" s="38" t="str">
        <f aca="false">IF(AND(D38="",E38="",F38=""),"",Q38)</f>
        <v/>
      </c>
      <c r="I38" s="31" t="str">
        <f aca="false">IF(COUNT(C38:F38)&gt;1,C38,IF(J38&lt;&gt;"",COUNT($I$13:I37)+1,""))</f>
        <v/>
      </c>
      <c r="J38" s="39" t="str">
        <f aca="false">IF(COUNT(D38:F38)&gt;0,V38,"")</f>
        <v/>
      </c>
      <c r="K38" s="40" t="str">
        <f aca="false">IF(COUNT(D38:F38,I38)&gt;1,D37+E37-E38-F38,"")</f>
        <v/>
      </c>
      <c r="L38" s="41" t="str">
        <f aca="false">AA38</f>
        <v/>
      </c>
      <c r="P38" s="42" t="n">
        <f aca="false">Q38+E38+D38</f>
        <v>0</v>
      </c>
      <c r="Q38" s="42" t="n">
        <f aca="false">P37-E38-F38</f>
        <v>0</v>
      </c>
      <c r="S38" s="1" t="str">
        <f aca="false">IF(D38="",S37,G38)</f>
        <v/>
      </c>
      <c r="T38" s="1" t="str">
        <f aca="false">IF(D38="",T37,D38)</f>
        <v/>
      </c>
      <c r="U38" s="1" t="str">
        <f aca="false">IF(S38&lt;&gt;"",S38-T38,"")</f>
        <v/>
      </c>
      <c r="V38" s="1" t="e">
        <f aca="false">IF(Q38&lt;&gt;"",Q38-U37,"")</f>
        <v>#VALUE!</v>
      </c>
      <c r="W38" s="1" t="str">
        <f aca="false" t="array" ref="W38:W38">IF(J38&lt;&gt;"",_xlfn.IFS(V38&gt;0,"CUT",V38&lt;0,"FALL"),"")</f>
        <v/>
      </c>
      <c r="X38" s="1" t="str">
        <f aca="false">IF(SUM(D38)&lt;&gt;0,"Turning Point","")</f>
        <v/>
      </c>
      <c r="Y38" s="1" t="str">
        <f aca="false">IF(COUNT(D38:F38)&lt;&gt;0,COUNT(C$13:$C37)+1,"")</f>
        <v/>
      </c>
      <c r="Z38" s="1" t="str">
        <f aca="false">IF(X38="Turning Point",COUNT(Z$13:$Z37)+1,"")</f>
        <v/>
      </c>
      <c r="AA38" s="1" t="str">
        <f aca="false">IF(AD38&lt;&gt;"",AD38,IF(Y38&lt;&gt;"",CONCATENATE(X38," ",Z38),""))</f>
        <v/>
      </c>
      <c r="AD38" s="4" t="str">
        <f aca="false">IF(F38&lt;&gt;"",IF(AC38=$AB$14,IF(Z38&lt;&gt;"","","end"),""),"")</f>
        <v/>
      </c>
    </row>
    <row r="39" customFormat="false" ht="24" hidden="false" customHeight="true" outlineLevel="0" collapsed="false">
      <c r="C39" s="27" t="n">
        <v>26</v>
      </c>
      <c r="D39" s="37"/>
      <c r="E39" s="37"/>
      <c r="F39" s="37"/>
      <c r="G39" s="38"/>
      <c r="H39" s="38" t="str">
        <f aca="false">IF(AND(D39="",E39="",F39=""),"",Q39)</f>
        <v/>
      </c>
      <c r="I39" s="31" t="str">
        <f aca="false">IF(COUNT(C39:F39)&gt;1,C39,IF(J39&lt;&gt;"",COUNT($I$13:I38)+1,""))</f>
        <v/>
      </c>
      <c r="J39" s="39" t="str">
        <f aca="false">IF(COUNT(D39:F39)&gt;0,V39,"")</f>
        <v/>
      </c>
      <c r="K39" s="40" t="str">
        <f aca="false">IF(COUNT(D39:F39,I39)&gt;1,D38+E38-E39-F39,"")</f>
        <v/>
      </c>
      <c r="L39" s="41" t="str">
        <f aca="false">AA39</f>
        <v/>
      </c>
      <c r="P39" s="42" t="n">
        <f aca="false">Q39+E39+D39</f>
        <v>0</v>
      </c>
      <c r="Q39" s="42" t="n">
        <f aca="false">P38-E39-F39</f>
        <v>0</v>
      </c>
      <c r="S39" s="1" t="str">
        <f aca="false">IF(D39="",S38,G39)</f>
        <v/>
      </c>
      <c r="T39" s="1" t="str">
        <f aca="false">IF(D39="",T38,D39)</f>
        <v/>
      </c>
      <c r="U39" s="1" t="str">
        <f aca="false">IF(S39&lt;&gt;"",S39-T39,"")</f>
        <v/>
      </c>
      <c r="V39" s="1" t="e">
        <f aca="false">IF(Q39&lt;&gt;"",Q39-U38,"")</f>
        <v>#VALUE!</v>
      </c>
      <c r="W39" s="1" t="str">
        <f aca="false" t="array" ref="W39:W39">IF(J39&lt;&gt;"",_xlfn.IFS(V39&gt;0,"CUT",V39&lt;0,"FALL"),"")</f>
        <v/>
      </c>
      <c r="X39" s="1" t="str">
        <f aca="false">IF(SUM(D39)&lt;&gt;0,"Turning Point","")</f>
        <v/>
      </c>
      <c r="Y39" s="1" t="str">
        <f aca="false">IF(COUNT(D39:F39)&lt;&gt;0,COUNT(C$13:$C38)+1,"")</f>
        <v/>
      </c>
      <c r="Z39" s="1" t="str">
        <f aca="false">IF(X39="Turning Point",COUNT(Z$13:$Z38)+1,"")</f>
        <v/>
      </c>
      <c r="AA39" s="1" t="str">
        <f aca="false">IF(AD39&lt;&gt;"",AD39,IF(Y39&lt;&gt;"",CONCATENATE(X39," ",Z39),""))</f>
        <v/>
      </c>
      <c r="AD39" s="4" t="str">
        <f aca="false">IF(F39&lt;&gt;"",IF(AC39=$AB$14,IF(Z39&lt;&gt;"","","end"),""),"")</f>
        <v/>
      </c>
    </row>
    <row r="40" customFormat="false" ht="24" hidden="false" customHeight="true" outlineLevel="0" collapsed="false">
      <c r="C40" s="36" t="n">
        <v>27</v>
      </c>
      <c r="D40" s="37"/>
      <c r="E40" s="37"/>
      <c r="F40" s="37"/>
      <c r="G40" s="38"/>
      <c r="H40" s="38" t="str">
        <f aca="false">IF(AND(D40="",E40="",F40=""),"",Q40)</f>
        <v/>
      </c>
      <c r="I40" s="31" t="str">
        <f aca="false">IF(COUNT(C40:F40)&gt;1,C40,IF(J40&lt;&gt;"",COUNT($I$13:I39)+1,""))</f>
        <v/>
      </c>
      <c r="J40" s="39" t="str">
        <f aca="false">IF(COUNT(D40:F40)&gt;0,V40,"")</f>
        <v/>
      </c>
      <c r="K40" s="40" t="str">
        <f aca="false">IF(COUNT(D40:F40,I40)&gt;1,D39+E39-E40-F40,"")</f>
        <v/>
      </c>
      <c r="L40" s="41" t="str">
        <f aca="false">AA40</f>
        <v/>
      </c>
      <c r="P40" s="42" t="n">
        <f aca="false">Q40+E40+D40</f>
        <v>0</v>
      </c>
      <c r="Q40" s="42" t="n">
        <f aca="false">P39-E40-F40</f>
        <v>0</v>
      </c>
      <c r="S40" s="1" t="str">
        <f aca="false">IF(D40="",S39,G40)</f>
        <v/>
      </c>
      <c r="T40" s="1" t="str">
        <f aca="false">IF(D40="",T39,D40)</f>
        <v/>
      </c>
      <c r="U40" s="1" t="str">
        <f aca="false">IF(S40&lt;&gt;"",S40-T40,"")</f>
        <v/>
      </c>
      <c r="V40" s="1" t="e">
        <f aca="false">IF(Q40&lt;&gt;"",Q40-U39,"")</f>
        <v>#VALUE!</v>
      </c>
      <c r="W40" s="1" t="str">
        <f aca="false" t="array" ref="W40:W40">IF(J40&lt;&gt;"",_xlfn.IFS(V40&gt;0,"CUT",V40&lt;0,"FALL"),"")</f>
        <v/>
      </c>
      <c r="X40" s="1" t="str">
        <f aca="false">IF(SUM(D40)&lt;&gt;0,"Turning Point","")</f>
        <v/>
      </c>
      <c r="Y40" s="1" t="str">
        <f aca="false">IF(COUNT(D40:F40)&lt;&gt;0,COUNT(C$13:$C39)+1,"")</f>
        <v/>
      </c>
      <c r="Z40" s="1" t="str">
        <f aca="false">IF(X40="Turning Point",COUNT(Z$13:$Z39)+1,"")</f>
        <v/>
      </c>
      <c r="AA40" s="1" t="str">
        <f aca="false">IF(AD40&lt;&gt;"",AD40,IF(Y40&lt;&gt;"",CONCATENATE(X40," ",Z40),""))</f>
        <v/>
      </c>
      <c r="AD40" s="4" t="str">
        <f aca="false">IF(F40&lt;&gt;"",IF(AC40=$AB$14,IF(Z40&lt;&gt;"","","end"),""),"")</f>
        <v/>
      </c>
    </row>
    <row r="41" customFormat="false" ht="24" hidden="false" customHeight="true" outlineLevel="0" collapsed="false">
      <c r="C41" s="27" t="n">
        <v>28</v>
      </c>
      <c r="D41" s="37"/>
      <c r="E41" s="37"/>
      <c r="F41" s="37"/>
      <c r="G41" s="38"/>
      <c r="H41" s="38" t="str">
        <f aca="false">IF(AND(D41="",E41="",F41=""),"",Q41)</f>
        <v/>
      </c>
      <c r="I41" s="31" t="str">
        <f aca="false">IF(COUNT(C41:F41)&gt;1,C41,IF(J41&lt;&gt;"",COUNT($I$13:I40)+1,""))</f>
        <v/>
      </c>
      <c r="J41" s="39" t="str">
        <f aca="false">IF(COUNT(D41:F41)&gt;0,V41,"")</f>
        <v/>
      </c>
      <c r="K41" s="40" t="str">
        <f aca="false">IF(COUNT(D41:F41,I41)&gt;1,D40+E40-E41-F41,"")</f>
        <v/>
      </c>
      <c r="L41" s="41" t="str">
        <f aca="false">AA41</f>
        <v/>
      </c>
      <c r="P41" s="42" t="n">
        <f aca="false">Q41+E41+D41</f>
        <v>0</v>
      </c>
      <c r="Q41" s="42" t="n">
        <f aca="false">P40-E41-F41</f>
        <v>0</v>
      </c>
      <c r="S41" s="1" t="str">
        <f aca="false">IF(D41="",S40,G41)</f>
        <v/>
      </c>
      <c r="T41" s="1" t="str">
        <f aca="false">IF(D41="",T40,D41)</f>
        <v/>
      </c>
      <c r="U41" s="1" t="str">
        <f aca="false">IF(S41&lt;&gt;"",S41-T41,"")</f>
        <v/>
      </c>
      <c r="V41" s="1" t="e">
        <f aca="false">IF(Q41&lt;&gt;"",Q41-U40,"")</f>
        <v>#VALUE!</v>
      </c>
      <c r="W41" s="1" t="str">
        <f aca="false" t="array" ref="W41:W41">IF(J41&lt;&gt;"",_xlfn.IFS(V41&gt;0,"CUT",V41&lt;0,"FALL"),"")</f>
        <v/>
      </c>
      <c r="X41" s="1" t="str">
        <f aca="false">IF(SUM(D41)&lt;&gt;0,"Turning Point","")</f>
        <v/>
      </c>
      <c r="Y41" s="1" t="str">
        <f aca="false">IF(COUNT(D41:F41)&lt;&gt;0,COUNT(C$13:$C40)+1,"")</f>
        <v/>
      </c>
      <c r="Z41" s="1" t="str">
        <f aca="false">IF(X41="Turning Point",COUNT(Z$13:$Z40)+1,"")</f>
        <v/>
      </c>
      <c r="AA41" s="1" t="str">
        <f aca="false">IF(AD41&lt;&gt;"",AD41,IF(Y41&lt;&gt;"",CONCATENATE(X41," ",Z41),""))</f>
        <v/>
      </c>
      <c r="AD41" s="4" t="str">
        <f aca="false">IF(F41&lt;&gt;"",IF(AC41=$AB$14,IF(Z41&lt;&gt;"","","end"),""),"")</f>
        <v/>
      </c>
    </row>
    <row r="42" customFormat="false" ht="24" hidden="false" customHeight="true" outlineLevel="0" collapsed="false">
      <c r="C42" s="36" t="n">
        <v>29</v>
      </c>
      <c r="D42" s="37"/>
      <c r="E42" s="37"/>
      <c r="F42" s="37"/>
      <c r="G42" s="38"/>
      <c r="H42" s="38" t="str">
        <f aca="false">IF(AND(D42="",E42="",F42=""),"",Q42)</f>
        <v/>
      </c>
      <c r="I42" s="31" t="str">
        <f aca="false">IF(COUNT(C42:F42)&gt;1,C42,IF(J42&lt;&gt;"",COUNT($I$13:I41)+1,""))</f>
        <v/>
      </c>
      <c r="J42" s="39" t="str">
        <f aca="false">IF(COUNT(D42:F42)&gt;0,V42,"")</f>
        <v/>
      </c>
      <c r="K42" s="40" t="str">
        <f aca="false">IF(COUNT(D42:F42,I42)&gt;1,D41+E41-E42-F42,"")</f>
        <v/>
      </c>
      <c r="L42" s="41" t="str">
        <f aca="false">AA42</f>
        <v/>
      </c>
      <c r="P42" s="42" t="n">
        <f aca="false">Q42+E42+D42</f>
        <v>0</v>
      </c>
      <c r="Q42" s="42" t="n">
        <f aca="false">P41-E42-F42</f>
        <v>0</v>
      </c>
      <c r="S42" s="1" t="str">
        <f aca="false">IF(D42="",S41,G42)</f>
        <v/>
      </c>
      <c r="T42" s="1" t="str">
        <f aca="false">IF(D42="",T41,D42)</f>
        <v/>
      </c>
      <c r="U42" s="1" t="str">
        <f aca="false">IF(S42&lt;&gt;"",S42-T42,"")</f>
        <v/>
      </c>
      <c r="V42" s="1" t="e">
        <f aca="false">IF(Q42&lt;&gt;"",Q42-U41,"")</f>
        <v>#VALUE!</v>
      </c>
      <c r="W42" s="1" t="str">
        <f aca="false" t="array" ref="W42:W42">IF(J42&lt;&gt;"",_xlfn.IFS(V42&gt;0,"CUT",V42&lt;0,"FALL"),"")</f>
        <v/>
      </c>
      <c r="X42" s="1" t="str">
        <f aca="false">IF(SUM(D42)&lt;&gt;0,"Turning Point","")</f>
        <v/>
      </c>
      <c r="Y42" s="1" t="str">
        <f aca="false">IF(COUNT(D42:F42)&lt;&gt;0,COUNT(C$13:$C41)+1,"")</f>
        <v/>
      </c>
      <c r="Z42" s="1" t="str">
        <f aca="false">IF(X42="Turning Point",COUNT(Z$13:$Z41)+1,"")</f>
        <v/>
      </c>
      <c r="AA42" s="1" t="str">
        <f aca="false">IF(AD42&lt;&gt;"",AD42,IF(Y42&lt;&gt;"",CONCATENATE(X42," ",Z42),""))</f>
        <v/>
      </c>
      <c r="AD42" s="4" t="str">
        <f aca="false">IF(F42&lt;&gt;"",IF(AC42=$AB$14,IF(Z42&lt;&gt;"","","end"),""),"")</f>
        <v/>
      </c>
    </row>
    <row r="43" customFormat="false" ht="24" hidden="false" customHeight="true" outlineLevel="0" collapsed="false">
      <c r="C43" s="27" t="n">
        <v>30</v>
      </c>
      <c r="D43" s="37"/>
      <c r="E43" s="37"/>
      <c r="F43" s="37"/>
      <c r="G43" s="38"/>
      <c r="H43" s="38" t="str">
        <f aca="false">IF(AND(D43="",E43="",F43=""),"",Q43)</f>
        <v/>
      </c>
      <c r="I43" s="31" t="str">
        <f aca="false">IF(COUNT(C43:F43)&gt;1,C43,IF(J43&lt;&gt;"",COUNT($I$13:I42)+1,""))</f>
        <v/>
      </c>
      <c r="J43" s="39" t="str">
        <f aca="false">IF(COUNT(D43:F43)&gt;0,V43,"")</f>
        <v/>
      </c>
      <c r="K43" s="40" t="str">
        <f aca="false">IF(COUNT(D43:F43,I43)&gt;1,D42+E42-E43-F43,"")</f>
        <v/>
      </c>
      <c r="L43" s="41" t="str">
        <f aca="false">AA43</f>
        <v/>
      </c>
      <c r="P43" s="42" t="n">
        <f aca="false">Q43+E43+D43</f>
        <v>0</v>
      </c>
      <c r="Q43" s="42" t="n">
        <f aca="false">P42-E43-F43</f>
        <v>0</v>
      </c>
      <c r="S43" s="1" t="str">
        <f aca="false">IF(D43="",S42,G43)</f>
        <v/>
      </c>
      <c r="T43" s="1" t="str">
        <f aca="false">IF(D43="",T42,D43)</f>
        <v/>
      </c>
      <c r="U43" s="1" t="str">
        <f aca="false">IF(S43&lt;&gt;"",S43-T43,"")</f>
        <v/>
      </c>
      <c r="V43" s="1" t="e">
        <f aca="false">IF(Q43&lt;&gt;"",Q43-U42,"")</f>
        <v>#VALUE!</v>
      </c>
      <c r="W43" s="1" t="str">
        <f aca="false" t="array" ref="W43:W43">IF(J43&lt;&gt;"",_xlfn.IFS(V43&gt;0,"CUT",V43&lt;0,"FALL"),"")</f>
        <v/>
      </c>
      <c r="X43" s="1" t="str">
        <f aca="false">IF(SUM(D43)&lt;&gt;0,"Turning Point","")</f>
        <v/>
      </c>
      <c r="Y43" s="1" t="str">
        <f aca="false">IF(COUNT(D43:F43)&lt;&gt;0,COUNT(C$13:$C42)+1,"")</f>
        <v/>
      </c>
      <c r="Z43" s="1" t="str">
        <f aca="false">IF(X43="Turning Point",COUNT(Z$13:$Z42)+1,"")</f>
        <v/>
      </c>
      <c r="AA43" s="1" t="str">
        <f aca="false">IF(AD43&lt;&gt;"",AD43,IF(Y43&lt;&gt;"",CONCATENATE(X43," ",Z43),""))</f>
        <v/>
      </c>
      <c r="AD43" s="4" t="str">
        <f aca="false">IF(F43&lt;&gt;"",IF(AC43=$AB$14,IF(Z43&lt;&gt;"","","end"),""),"")</f>
        <v/>
      </c>
    </row>
    <row r="44" customFormat="false" ht="24" hidden="false" customHeight="true" outlineLevel="0" collapsed="false">
      <c r="C44" s="36" t="n">
        <v>31</v>
      </c>
      <c r="D44" s="37"/>
      <c r="E44" s="37"/>
      <c r="F44" s="37"/>
      <c r="G44" s="38"/>
      <c r="H44" s="38" t="str">
        <f aca="false">IF(AND(D44="",E44="",F44=""),"",Q44)</f>
        <v/>
      </c>
      <c r="I44" s="31" t="str">
        <f aca="false">IF(COUNT(C44:F44)&gt;1,C44,IF(J44&lt;&gt;"",COUNT($I$13:I43)+1,""))</f>
        <v/>
      </c>
      <c r="J44" s="39" t="str">
        <f aca="false">IF(COUNT(D44:F44)&gt;0,V44,"")</f>
        <v/>
      </c>
      <c r="K44" s="40" t="str">
        <f aca="false">IF(COUNT(D44:F44,I44)&gt;1,D43+E43-E44-F44,"")</f>
        <v/>
      </c>
      <c r="L44" s="41" t="str">
        <f aca="false">AA44</f>
        <v/>
      </c>
      <c r="P44" s="42" t="n">
        <f aca="false">Q44+E44+D44</f>
        <v>0</v>
      </c>
      <c r="Q44" s="42" t="n">
        <f aca="false">P43-E44-F44</f>
        <v>0</v>
      </c>
      <c r="S44" s="1" t="str">
        <f aca="false">IF(D44="",S43,G44)</f>
        <v/>
      </c>
      <c r="T44" s="1" t="str">
        <f aca="false">IF(D44="",T43,D44)</f>
        <v/>
      </c>
      <c r="U44" s="1" t="str">
        <f aca="false">IF(S44&lt;&gt;"",S44-T44,"")</f>
        <v/>
      </c>
      <c r="V44" s="1" t="e">
        <f aca="false">IF(Q44&lt;&gt;"",Q44-U43,"")</f>
        <v>#VALUE!</v>
      </c>
      <c r="W44" s="1" t="str">
        <f aca="false" t="array" ref="W44:W44">IF(J44&lt;&gt;"",_xlfn.IFS(V44&gt;0,"CUT",V44&lt;0,"FALL"),"")</f>
        <v/>
      </c>
      <c r="X44" s="1" t="str">
        <f aca="false">IF(SUM(D44)&lt;&gt;0,"Turning Point","")</f>
        <v/>
      </c>
      <c r="Y44" s="1" t="str">
        <f aca="false">IF(COUNT(D44:F44)&lt;&gt;0,COUNT(C$13:$C43)+1,"")</f>
        <v/>
      </c>
      <c r="Z44" s="1" t="str">
        <f aca="false">IF(X44="Turning Point",COUNT(Z$13:$Z43)+1,"")</f>
        <v/>
      </c>
      <c r="AA44" s="1" t="str">
        <f aca="false">IF(AD44&lt;&gt;"",AD44,IF(Y44&lt;&gt;"",CONCATENATE(X44," ",Z44),""))</f>
        <v/>
      </c>
      <c r="AD44" s="4" t="str">
        <f aca="false">IF(F44&lt;&gt;"",IF(AC44=$AB$14,IF(Z44&lt;&gt;"","","end"),""),"")</f>
        <v/>
      </c>
    </row>
    <row r="45" customFormat="false" ht="24" hidden="false" customHeight="true" outlineLevel="0" collapsed="false">
      <c r="C45" s="27" t="n">
        <v>32</v>
      </c>
      <c r="D45" s="37"/>
      <c r="E45" s="37"/>
      <c r="F45" s="37"/>
      <c r="G45" s="38"/>
      <c r="H45" s="38" t="str">
        <f aca="false">IF(AND(D45="",E45="",F45=""),"",Q45)</f>
        <v/>
      </c>
      <c r="I45" s="31" t="str">
        <f aca="false">IF(COUNT(C45:F45)&gt;1,C45,IF(J45&lt;&gt;"",COUNT($I$13:I44)+1,""))</f>
        <v/>
      </c>
      <c r="J45" s="39" t="str">
        <f aca="false">IF(COUNT(D45:F45)&gt;0,V45,"")</f>
        <v/>
      </c>
      <c r="K45" s="40" t="str">
        <f aca="false">IF(COUNT(D45:F45,I45)&gt;1,D44+E44-E45-F45,"")</f>
        <v/>
      </c>
      <c r="L45" s="41" t="str">
        <f aca="false">AA45</f>
        <v/>
      </c>
      <c r="P45" s="42" t="n">
        <f aca="false">Q45+E45+D45</f>
        <v>0</v>
      </c>
      <c r="Q45" s="42" t="n">
        <f aca="false">P44-E45-F45</f>
        <v>0</v>
      </c>
      <c r="S45" s="1" t="str">
        <f aca="false">IF(D45="",S44,G45)</f>
        <v/>
      </c>
      <c r="T45" s="1" t="str">
        <f aca="false">IF(D45="",T44,D45)</f>
        <v/>
      </c>
      <c r="U45" s="1" t="str">
        <f aca="false">IF(S45&lt;&gt;"",S45-T45,"")</f>
        <v/>
      </c>
      <c r="V45" s="1" t="e">
        <f aca="false">IF(Q45&lt;&gt;"",Q45-U44,"")</f>
        <v>#VALUE!</v>
      </c>
      <c r="W45" s="1" t="str">
        <f aca="false" t="array" ref="W45:W45">IF(J45&lt;&gt;"",_xlfn.IFS(V45&gt;0,"CUT",V45&lt;0,"FALL"),"")</f>
        <v/>
      </c>
      <c r="X45" s="1" t="str">
        <f aca="false">IF(SUM(D45)&lt;&gt;0,"Turning Point","")</f>
        <v/>
      </c>
      <c r="Y45" s="1" t="str">
        <f aca="false">IF(COUNT(D45:F45)&lt;&gt;0,COUNT(C$13:$C44)+1,"")</f>
        <v/>
      </c>
      <c r="Z45" s="1" t="str">
        <f aca="false">IF(X45="Turning Point",COUNT(Z$13:$Z44)+1,"")</f>
        <v/>
      </c>
      <c r="AA45" s="1" t="str">
        <f aca="false">IF(AD45&lt;&gt;"",AD45,IF(Y45&lt;&gt;"",CONCATENATE(X45," ",Z45),""))</f>
        <v/>
      </c>
      <c r="AD45" s="4" t="str">
        <f aca="false">IF(F45&lt;&gt;"",IF(AC45=$AB$14,IF(Z45&lt;&gt;"","","end"),""),"")</f>
        <v/>
      </c>
    </row>
    <row r="46" customFormat="false" ht="24" hidden="false" customHeight="true" outlineLevel="0" collapsed="false">
      <c r="C46" s="36" t="n">
        <v>33</v>
      </c>
      <c r="D46" s="37"/>
      <c r="E46" s="37"/>
      <c r="F46" s="37"/>
      <c r="G46" s="38"/>
      <c r="H46" s="38" t="str">
        <f aca="false">IF(AND(D46="",E46="",F46=""),"",Q46)</f>
        <v/>
      </c>
      <c r="I46" s="31" t="str">
        <f aca="false">IF(COUNT(C46:F46)&gt;1,C46,IF(J46&lt;&gt;"",COUNT($I$13:I45)+1,""))</f>
        <v/>
      </c>
      <c r="J46" s="39" t="str">
        <f aca="false">IF(COUNT(D46:F46)&gt;0,V46,"")</f>
        <v/>
      </c>
      <c r="K46" s="40" t="str">
        <f aca="false">IF(COUNT(D46:F46,I46)&gt;1,D45+E45-E46-F46,"")</f>
        <v/>
      </c>
      <c r="L46" s="41" t="str">
        <f aca="false">AA46</f>
        <v/>
      </c>
      <c r="P46" s="42" t="n">
        <f aca="false">Q46+E46+D46</f>
        <v>0</v>
      </c>
      <c r="Q46" s="42" t="n">
        <f aca="false">P45-E46-F46</f>
        <v>0</v>
      </c>
      <c r="S46" s="1" t="str">
        <f aca="false">IF(D46="",S45,G46)</f>
        <v/>
      </c>
      <c r="T46" s="1" t="str">
        <f aca="false">IF(D46="",T45,D46)</f>
        <v/>
      </c>
      <c r="U46" s="1" t="str">
        <f aca="false">IF(S46&lt;&gt;"",S46-T46,"")</f>
        <v/>
      </c>
      <c r="V46" s="1" t="e">
        <f aca="false">IF(Q46&lt;&gt;"",Q46-U45,"")</f>
        <v>#VALUE!</v>
      </c>
      <c r="W46" s="1" t="str">
        <f aca="false" t="array" ref="W46:W46">IF(J46&lt;&gt;"",_xlfn.IFS(V46&gt;0,"CUT",V46&lt;0,"FALL"),"")</f>
        <v/>
      </c>
      <c r="X46" s="1" t="str">
        <f aca="false">IF(SUM(D46)&lt;&gt;0,"Turning Point","")</f>
        <v/>
      </c>
      <c r="Y46" s="1" t="str">
        <f aca="false">IF(COUNT(D46:F46)&lt;&gt;0,COUNT(C$13:$C45)+1,"")</f>
        <v/>
      </c>
      <c r="Z46" s="1" t="str">
        <f aca="false">IF(X46="Turning Point",COUNT(Z$13:$Z45)+1,"")</f>
        <v/>
      </c>
      <c r="AA46" s="1" t="str">
        <f aca="false">IF(AD46&lt;&gt;"",AD46,IF(Y46&lt;&gt;"",CONCATENATE(X46," ",Z46),""))</f>
        <v/>
      </c>
      <c r="AD46" s="4" t="str">
        <f aca="false">IF(F46&lt;&gt;"",IF(AC46=$AB$14,IF(Z46&lt;&gt;"","","end"),""),"")</f>
        <v/>
      </c>
    </row>
    <row r="47" customFormat="false" ht="24" hidden="false" customHeight="true" outlineLevel="0" collapsed="false">
      <c r="C47" s="27" t="n">
        <v>34</v>
      </c>
      <c r="D47" s="37"/>
      <c r="E47" s="37"/>
      <c r="F47" s="37"/>
      <c r="G47" s="38"/>
      <c r="H47" s="38" t="str">
        <f aca="false">IF(AND(D47="",E47="",F47=""),"",Q47)</f>
        <v/>
      </c>
      <c r="I47" s="31" t="str">
        <f aca="false">IF(COUNT(C47:F47)&gt;1,C47,IF(J47&lt;&gt;"",COUNT($I$13:I46)+1,""))</f>
        <v/>
      </c>
      <c r="J47" s="39" t="str">
        <f aca="false">IF(COUNT(D47:F47)&gt;0,V47,"")</f>
        <v/>
      </c>
      <c r="K47" s="40" t="str">
        <f aca="false">IF(COUNT(D47:F47,I47)&gt;1,D46+E46-E47-F47,"")</f>
        <v/>
      </c>
      <c r="L47" s="41" t="str">
        <f aca="false">AA47</f>
        <v/>
      </c>
      <c r="P47" s="42" t="n">
        <f aca="false">Q47+E47+D47</f>
        <v>0</v>
      </c>
      <c r="Q47" s="42" t="n">
        <f aca="false">P46-E47-F47</f>
        <v>0</v>
      </c>
      <c r="S47" s="1" t="str">
        <f aca="false">IF(D47="",S46,G47)</f>
        <v/>
      </c>
      <c r="T47" s="1" t="str">
        <f aca="false">IF(D47="",T46,D47)</f>
        <v/>
      </c>
      <c r="U47" s="1" t="str">
        <f aca="false">IF(S47&lt;&gt;"",S47-T47,"")</f>
        <v/>
      </c>
      <c r="V47" s="1" t="e">
        <f aca="false">IF(Q47&lt;&gt;"",Q47-U46,"")</f>
        <v>#VALUE!</v>
      </c>
      <c r="W47" s="1" t="str">
        <f aca="false" t="array" ref="W47:W47">IF(J47&lt;&gt;"",_xlfn.IFS(V47&gt;0,"CUT",V47&lt;0,"FALL"),"")</f>
        <v/>
      </c>
      <c r="X47" s="1" t="str">
        <f aca="false">IF(SUM(D47)&lt;&gt;0,"Turning Point","")</f>
        <v/>
      </c>
      <c r="Y47" s="1" t="str">
        <f aca="false">IF(COUNT(D47:F47)&lt;&gt;0,COUNT(C$13:$C46)+1,"")</f>
        <v/>
      </c>
      <c r="Z47" s="1" t="str">
        <f aca="false">IF(X47="Turning Point",COUNT(Z$13:$Z46)+1,"")</f>
        <v/>
      </c>
      <c r="AA47" s="1" t="str">
        <f aca="false">IF(AD47&lt;&gt;"",AD47,IF(Y47&lt;&gt;"",CONCATENATE(X47," ",Z47),""))</f>
        <v/>
      </c>
      <c r="AD47" s="4" t="str">
        <f aca="false">IF(F47&lt;&gt;"",IF(AC47=$AB$14,IF(Z47&lt;&gt;"","","end"),""),"")</f>
        <v/>
      </c>
    </row>
    <row r="48" customFormat="false" ht="24" hidden="false" customHeight="true" outlineLevel="0" collapsed="false">
      <c r="C48" s="36" t="n">
        <v>35</v>
      </c>
      <c r="D48" s="37"/>
      <c r="E48" s="37"/>
      <c r="F48" s="37"/>
      <c r="G48" s="38"/>
      <c r="H48" s="38" t="str">
        <f aca="false">IF(AND(D48="",E48="",F48=""),"",Q48)</f>
        <v/>
      </c>
      <c r="I48" s="31" t="str">
        <f aca="false">IF(COUNT(C48:F48)&gt;1,C48,IF(J48&lt;&gt;"",COUNT($I$13:I47)+1,""))</f>
        <v/>
      </c>
      <c r="J48" s="39" t="str">
        <f aca="false">IF(COUNT(D48:F48)&gt;0,V48,"")</f>
        <v/>
      </c>
      <c r="K48" s="40" t="str">
        <f aca="false">IF(COUNT(D48:F48,I48)&gt;1,D47+E47-E48-F48,"")</f>
        <v/>
      </c>
      <c r="L48" s="41" t="str">
        <f aca="false">AA48</f>
        <v/>
      </c>
      <c r="P48" s="42" t="n">
        <f aca="false">Q48+E48+D48</f>
        <v>0</v>
      </c>
      <c r="Q48" s="42" t="n">
        <f aca="false">P47-E48-F48</f>
        <v>0</v>
      </c>
      <c r="S48" s="1" t="str">
        <f aca="false">IF(D48="",S47,G48)</f>
        <v/>
      </c>
      <c r="T48" s="1" t="str">
        <f aca="false">IF(D48="",T47,D48)</f>
        <v/>
      </c>
      <c r="U48" s="1" t="str">
        <f aca="false">IF(S48&lt;&gt;"",S48-T48,"")</f>
        <v/>
      </c>
      <c r="V48" s="1" t="e">
        <f aca="false">IF(Q48&lt;&gt;"",Q48-U47,"")</f>
        <v>#VALUE!</v>
      </c>
      <c r="W48" s="1" t="str">
        <f aca="false" t="array" ref="W48:W48">IF(J48&lt;&gt;"",_xlfn.IFS(V48&gt;0,"CUT",V48&lt;0,"FALL"),"")</f>
        <v/>
      </c>
      <c r="X48" s="1" t="str">
        <f aca="false">IF(SUM(D48)&lt;&gt;0,"Turning Point","")</f>
        <v/>
      </c>
      <c r="Y48" s="1" t="str">
        <f aca="false">IF(COUNT(D48:F48)&lt;&gt;0,COUNT(C$13:$C47)+1,"")</f>
        <v/>
      </c>
      <c r="Z48" s="1" t="str">
        <f aca="false">IF(X48="Turning Point",COUNT(Z$13:$Z47)+1,"")</f>
        <v/>
      </c>
      <c r="AA48" s="1" t="str">
        <f aca="false">IF(AD48&lt;&gt;"",AD48,IF(Y48&lt;&gt;"",CONCATENATE(X48," ",Z48),""))</f>
        <v/>
      </c>
      <c r="AD48" s="4" t="str">
        <f aca="false">IF(F48&lt;&gt;"",IF(AC48=$AB$14,IF(Z48&lt;&gt;"","","end"),""),"")</f>
        <v/>
      </c>
    </row>
    <row r="49" customFormat="false" ht="24" hidden="false" customHeight="true" outlineLevel="0" collapsed="false">
      <c r="C49" s="27" t="n">
        <v>36</v>
      </c>
      <c r="D49" s="37"/>
      <c r="E49" s="37"/>
      <c r="F49" s="37"/>
      <c r="G49" s="38"/>
      <c r="H49" s="38" t="str">
        <f aca="false">IF(AND(D49="",E49="",F49=""),"",Q49)</f>
        <v/>
      </c>
      <c r="I49" s="31" t="str">
        <f aca="false">IF(COUNT(C49:F49)&gt;1,C49,IF(J49&lt;&gt;"",COUNT($I$13:I48)+1,""))</f>
        <v/>
      </c>
      <c r="J49" s="39" t="str">
        <f aca="false">IF(COUNT(D49:F49)&gt;0,V49,"")</f>
        <v/>
      </c>
      <c r="K49" s="40" t="str">
        <f aca="false">IF(COUNT(D49:F49,I49)&gt;1,D48+E48-E49-F49,"")</f>
        <v/>
      </c>
      <c r="L49" s="41" t="str">
        <f aca="false">AA49</f>
        <v/>
      </c>
      <c r="P49" s="42" t="n">
        <f aca="false">Q49+E49+D49</f>
        <v>0</v>
      </c>
      <c r="Q49" s="42" t="n">
        <f aca="false">P48-E49-F49</f>
        <v>0</v>
      </c>
      <c r="S49" s="1" t="str">
        <f aca="false">IF(D49="",S48,G49)</f>
        <v/>
      </c>
      <c r="T49" s="1" t="str">
        <f aca="false">IF(D49="",T48,D49)</f>
        <v/>
      </c>
      <c r="U49" s="1" t="str">
        <f aca="false">IF(S49&lt;&gt;"",S49-T49,"")</f>
        <v/>
      </c>
      <c r="V49" s="1" t="e">
        <f aca="false">IF(Q49&lt;&gt;"",Q49-U48,"")</f>
        <v>#VALUE!</v>
      </c>
      <c r="W49" s="1" t="str">
        <f aca="false" t="array" ref="W49:W49">IF(J49&lt;&gt;"",_xlfn.IFS(V49&gt;0,"CUT",V49&lt;0,"FALL"),"")</f>
        <v/>
      </c>
      <c r="X49" s="1" t="str">
        <f aca="false">IF(SUM(D49)&lt;&gt;0,"Turning Point","")</f>
        <v/>
      </c>
      <c r="Y49" s="1" t="str">
        <f aca="false">IF(COUNT(D49:F49)&lt;&gt;0,COUNT(C$13:$C48)+1,"")</f>
        <v/>
      </c>
      <c r="Z49" s="1" t="str">
        <f aca="false">IF(X49="Turning Point",COUNT(Z$13:$Z48)+1,"")</f>
        <v/>
      </c>
      <c r="AA49" s="1" t="str">
        <f aca="false">IF(AD49&lt;&gt;"",AD49,IF(Y49&lt;&gt;"",CONCATENATE(X49," ",Z49),""))</f>
        <v/>
      </c>
      <c r="AD49" s="4" t="str">
        <f aca="false">IF(F49&lt;&gt;"",IF(AC49=$AB$14,IF(Z49&lt;&gt;"","","end"),""),"")</f>
        <v/>
      </c>
    </row>
    <row r="50" customFormat="false" ht="24" hidden="false" customHeight="true" outlineLevel="0" collapsed="false">
      <c r="C50" s="36" t="n">
        <v>37</v>
      </c>
      <c r="D50" s="37"/>
      <c r="E50" s="37"/>
      <c r="F50" s="37"/>
      <c r="G50" s="38"/>
      <c r="H50" s="38" t="str">
        <f aca="false">IF(AND(D50="",E50="",F50=""),"",Q50)</f>
        <v/>
      </c>
      <c r="I50" s="31" t="str">
        <f aca="false">IF(COUNT(C50:F50)&gt;1,C50,IF(J50&lt;&gt;"",COUNT($I$13:I49)+1,""))</f>
        <v/>
      </c>
      <c r="J50" s="39" t="str">
        <f aca="false">IF(COUNT(D50:F50)&gt;0,V50,"")</f>
        <v/>
      </c>
      <c r="K50" s="40" t="str">
        <f aca="false">IF(COUNT(D50:F50,I50)&gt;1,D49+E49-E50-F50,"")</f>
        <v/>
      </c>
      <c r="L50" s="41" t="str">
        <f aca="false">AA50</f>
        <v/>
      </c>
      <c r="P50" s="42" t="n">
        <f aca="false">Q50+E50+D50</f>
        <v>0</v>
      </c>
      <c r="Q50" s="42" t="n">
        <f aca="false">P49-E50-F50</f>
        <v>0</v>
      </c>
      <c r="S50" s="1" t="str">
        <f aca="false">IF(D50="",S49,G50)</f>
        <v/>
      </c>
      <c r="T50" s="1" t="str">
        <f aca="false">IF(D50="",T49,D50)</f>
        <v/>
      </c>
      <c r="U50" s="1" t="str">
        <f aca="false">IF(S50&lt;&gt;"",S50-T50,"")</f>
        <v/>
      </c>
      <c r="V50" s="1" t="e">
        <f aca="false">IF(Q50&lt;&gt;"",Q50-U49,"")</f>
        <v>#VALUE!</v>
      </c>
      <c r="W50" s="1" t="str">
        <f aca="false" t="array" ref="W50:W50">IF(J50&lt;&gt;"",_xlfn.IFS(V50&gt;0,"CUT",V50&lt;0,"FALL"),"")</f>
        <v/>
      </c>
      <c r="X50" s="1" t="str">
        <f aca="false">IF(SUM(D50)&lt;&gt;0,"Turning Point","")</f>
        <v/>
      </c>
      <c r="Y50" s="1" t="str">
        <f aca="false">IF(COUNT(D50:F50)&lt;&gt;0,COUNT(C$13:$C49)+1,"")</f>
        <v/>
      </c>
      <c r="Z50" s="1" t="str">
        <f aca="false">IF(X50="Turning Point",COUNT(Z$13:$Z49)+1,"")</f>
        <v/>
      </c>
      <c r="AA50" s="1" t="str">
        <f aca="false">IF(AD50&lt;&gt;"",AD50,IF(Y50&lt;&gt;"",CONCATENATE(X50," ",Z50),""))</f>
        <v/>
      </c>
      <c r="AD50" s="4" t="str">
        <f aca="false">IF(F50&lt;&gt;"",IF(AC50=$AB$14,IF(Z50&lt;&gt;"","","end"),""),"")</f>
        <v/>
      </c>
    </row>
    <row r="51" customFormat="false" ht="24" hidden="false" customHeight="true" outlineLevel="0" collapsed="false">
      <c r="C51" s="27" t="n">
        <v>38</v>
      </c>
      <c r="D51" s="37"/>
      <c r="E51" s="37"/>
      <c r="F51" s="37"/>
      <c r="G51" s="38"/>
      <c r="H51" s="38" t="str">
        <f aca="false">IF(AND(D51="",E51="",F51=""),"",Q51)</f>
        <v/>
      </c>
      <c r="I51" s="31" t="str">
        <f aca="false">IF(COUNT(C51:F51)&gt;1,C51,IF(J51&lt;&gt;"",COUNT($I$13:I50)+1,""))</f>
        <v/>
      </c>
      <c r="J51" s="39" t="str">
        <f aca="false">IF(COUNT(D51:F51)&gt;0,V51,"")</f>
        <v/>
      </c>
      <c r="K51" s="40" t="str">
        <f aca="false">IF(COUNT(D51:F51,I51)&gt;1,D50+E50-E51-F51,"")</f>
        <v/>
      </c>
      <c r="L51" s="41" t="str">
        <f aca="false">AA51</f>
        <v/>
      </c>
      <c r="P51" s="42" t="n">
        <f aca="false">Q51+E51+D51</f>
        <v>0</v>
      </c>
      <c r="Q51" s="42" t="n">
        <f aca="false">P50-E51-F51</f>
        <v>0</v>
      </c>
      <c r="S51" s="1" t="str">
        <f aca="false">IF(D51="",S50,G51)</f>
        <v/>
      </c>
      <c r="T51" s="1" t="str">
        <f aca="false">IF(D51="",T50,D51)</f>
        <v/>
      </c>
      <c r="U51" s="1" t="str">
        <f aca="false">IF(S51&lt;&gt;"",S51-T51,"")</f>
        <v/>
      </c>
      <c r="V51" s="1" t="e">
        <f aca="false">IF(Q51&lt;&gt;"",Q51-U50,"")</f>
        <v>#VALUE!</v>
      </c>
      <c r="W51" s="1" t="str">
        <f aca="false" t="array" ref="W51:W51">IF(J51&lt;&gt;"",_xlfn.IFS(V51&gt;0,"CUT",V51&lt;0,"FALL"),"")</f>
        <v/>
      </c>
      <c r="X51" s="1" t="str">
        <f aca="false">IF(SUM(D51)&lt;&gt;0,"Turning Point","")</f>
        <v/>
      </c>
      <c r="Y51" s="1" t="str">
        <f aca="false">IF(COUNT(D51:F51)&lt;&gt;0,COUNT(C$13:$C50)+1,"")</f>
        <v/>
      </c>
      <c r="Z51" s="1" t="str">
        <f aca="false">IF(X51="Turning Point",COUNT(Z$13:$Z50)+1,"")</f>
        <v/>
      </c>
      <c r="AA51" s="1" t="str">
        <f aca="false">IF(AD51&lt;&gt;"",AD51,IF(Y51&lt;&gt;"",CONCATENATE(X51," ",Z51),""))</f>
        <v/>
      </c>
      <c r="AD51" s="4" t="str">
        <f aca="false">IF(F51&lt;&gt;"",IF(AC51=$AB$14,IF(Z51&lt;&gt;"","","end"),""),"")</f>
        <v/>
      </c>
    </row>
    <row r="52" customFormat="false" ht="24" hidden="false" customHeight="true" outlineLevel="0" collapsed="false">
      <c r="C52" s="36" t="n">
        <v>39</v>
      </c>
      <c r="D52" s="37"/>
      <c r="E52" s="37"/>
      <c r="F52" s="37"/>
      <c r="G52" s="38"/>
      <c r="H52" s="38" t="str">
        <f aca="false">IF(AND(D52="",E52="",F52=""),"",Q52)</f>
        <v/>
      </c>
      <c r="I52" s="31" t="str">
        <f aca="false">IF(COUNT(C52:F52)&gt;1,C52,IF(J52&lt;&gt;"",COUNT($I$13:I51)+1,""))</f>
        <v/>
      </c>
      <c r="J52" s="39" t="str">
        <f aca="false">IF(COUNT(D52:F52)&gt;0,V52,"")</f>
        <v/>
      </c>
      <c r="K52" s="40" t="str">
        <f aca="false">IF(COUNT(D52:F52,I52)&gt;1,D51+E51-E52-F52,"")</f>
        <v/>
      </c>
      <c r="L52" s="41" t="str">
        <f aca="false">AA52</f>
        <v/>
      </c>
      <c r="P52" s="42" t="n">
        <f aca="false">Q52+E52+D52</f>
        <v>0</v>
      </c>
      <c r="Q52" s="42" t="n">
        <f aca="false">P51-E52-F52</f>
        <v>0</v>
      </c>
      <c r="S52" s="1" t="str">
        <f aca="false">IF(D52="",S51,G52)</f>
        <v/>
      </c>
      <c r="T52" s="1" t="str">
        <f aca="false">IF(D52="",T51,D52)</f>
        <v/>
      </c>
      <c r="U52" s="1" t="str">
        <f aca="false">IF(S52&lt;&gt;"",S52-T52,"")</f>
        <v/>
      </c>
      <c r="V52" s="1" t="e">
        <f aca="false">IF(Q52&lt;&gt;"",Q52-U51,"")</f>
        <v>#VALUE!</v>
      </c>
      <c r="W52" s="1" t="str">
        <f aca="false" t="array" ref="W52:W52">IF(J52&lt;&gt;"",_xlfn.IFS(V52&gt;0,"CUT",V52&lt;0,"FALL"),"")</f>
        <v/>
      </c>
      <c r="X52" s="1" t="str">
        <f aca="false">IF(SUM(D52)&lt;&gt;0,"Turning Point","")</f>
        <v/>
      </c>
      <c r="Y52" s="1" t="str">
        <f aca="false">IF(COUNT(D52:F52)&lt;&gt;0,COUNT(C$13:$C51)+1,"")</f>
        <v/>
      </c>
      <c r="Z52" s="1" t="str">
        <f aca="false">IF(X52="Turning Point",COUNT(Z$13:$Z51)+1,"")</f>
        <v/>
      </c>
      <c r="AA52" s="1" t="str">
        <f aca="false">IF(AD52&lt;&gt;"",AD52,IF(Y52&lt;&gt;"",CONCATENATE(X52," ",Z52),""))</f>
        <v/>
      </c>
      <c r="AD52" s="4" t="str">
        <f aca="false">IF(F52&lt;&gt;"",IF(AC52=$AB$14,IF(Z52&lt;&gt;"","","end"),""),"")</f>
        <v/>
      </c>
    </row>
    <row r="53" customFormat="false" ht="24" hidden="false" customHeight="true" outlineLevel="0" collapsed="false">
      <c r="C53" s="27" t="n">
        <v>40</v>
      </c>
      <c r="D53" s="37"/>
      <c r="E53" s="37"/>
      <c r="F53" s="37"/>
      <c r="G53" s="38"/>
      <c r="H53" s="38" t="str">
        <f aca="false">IF(AND(D53="",E53="",F53=""),"",Q53)</f>
        <v/>
      </c>
      <c r="I53" s="31" t="str">
        <f aca="false">IF(COUNT(C53:F53)&gt;1,C53,IF(J53&lt;&gt;"",COUNT($I$13:I52)+1,""))</f>
        <v/>
      </c>
      <c r="J53" s="39" t="str">
        <f aca="false">IF(COUNT(D53:F53)&gt;0,V53,"")</f>
        <v/>
      </c>
      <c r="K53" s="40" t="str">
        <f aca="false">IF(COUNT(D53:F53,I53)&gt;1,D52+E52-E53-F53,"")</f>
        <v/>
      </c>
      <c r="L53" s="41" t="str">
        <f aca="false">AA53</f>
        <v/>
      </c>
      <c r="P53" s="42" t="n">
        <f aca="false">Q53+E53+D53</f>
        <v>0</v>
      </c>
      <c r="Q53" s="42" t="n">
        <f aca="false">P52-E53-F53</f>
        <v>0</v>
      </c>
      <c r="S53" s="1" t="str">
        <f aca="false">IF(D53="",S52,G53)</f>
        <v/>
      </c>
      <c r="T53" s="1" t="str">
        <f aca="false">IF(D53="",T52,D53)</f>
        <v/>
      </c>
      <c r="U53" s="1" t="str">
        <f aca="false">IF(S53&lt;&gt;"",S53-T53,"")</f>
        <v/>
      </c>
      <c r="V53" s="1" t="e">
        <f aca="false">IF(Q53&lt;&gt;"",Q53-U52,"")</f>
        <v>#VALUE!</v>
      </c>
      <c r="W53" s="1" t="str">
        <f aca="false" t="array" ref="W53:W53">IF(J53&lt;&gt;"",_xlfn.IFS(V53&gt;0,"CUT",V53&lt;0,"FALL"),"")</f>
        <v/>
      </c>
      <c r="X53" s="1" t="str">
        <f aca="false">IF(SUM(D53)&lt;&gt;0,"Turning Point","")</f>
        <v/>
      </c>
      <c r="Y53" s="1" t="str">
        <f aca="false">IF(COUNT(D53:F53)&lt;&gt;0,COUNT(C$13:$C52)+1,"")</f>
        <v/>
      </c>
      <c r="Z53" s="1" t="str">
        <f aca="false">IF(X53="Turning Point",COUNT(Z$13:$Z52)+1,"")</f>
        <v/>
      </c>
      <c r="AA53" s="1" t="str">
        <f aca="false">IF(AD53&lt;&gt;"",AD53,IF(Y53&lt;&gt;"",CONCATENATE(X53," ",Z53),""))</f>
        <v/>
      </c>
      <c r="AD53" s="4" t="str">
        <f aca="false">IF(F53&lt;&gt;"",IF(AC53=$AB$14,IF(Z53&lt;&gt;"","","end"),""),"")</f>
        <v/>
      </c>
    </row>
    <row r="54" customFormat="false" ht="24" hidden="false" customHeight="true" outlineLevel="0" collapsed="false">
      <c r="C54" s="36" t="n">
        <v>41</v>
      </c>
      <c r="D54" s="37"/>
      <c r="E54" s="37"/>
      <c r="F54" s="37"/>
      <c r="G54" s="38"/>
      <c r="H54" s="38" t="str">
        <f aca="false">IF(AND(D54="",E54="",F54=""),"",Q54)</f>
        <v/>
      </c>
      <c r="I54" s="31" t="str">
        <f aca="false">IF(COUNT(C54:F54)&gt;1,C54,IF(J54&lt;&gt;"",COUNT($I$13:I53)+1,""))</f>
        <v/>
      </c>
      <c r="J54" s="39" t="str">
        <f aca="false">IF(COUNT(D54:F54)&gt;0,V54,"")</f>
        <v/>
      </c>
      <c r="K54" s="40" t="str">
        <f aca="false">IF(COUNT(D54:F54,I54)&gt;1,D53+E53-E54-F54,"")</f>
        <v/>
      </c>
      <c r="L54" s="41" t="str">
        <f aca="false">AA54</f>
        <v/>
      </c>
      <c r="P54" s="42" t="n">
        <f aca="false">Q54+E54+D54</f>
        <v>0</v>
      </c>
      <c r="Q54" s="42" t="n">
        <f aca="false">P53-E54-F54</f>
        <v>0</v>
      </c>
      <c r="S54" s="1" t="str">
        <f aca="false">IF(D54="",S53,G54)</f>
        <v/>
      </c>
      <c r="T54" s="1" t="str">
        <f aca="false">IF(D54="",T53,D54)</f>
        <v/>
      </c>
      <c r="U54" s="1" t="str">
        <f aca="false">IF(S54&lt;&gt;"",S54-T54,"")</f>
        <v/>
      </c>
      <c r="V54" s="1" t="e">
        <f aca="false">IF(Q54&lt;&gt;"",Q54-U53,"")</f>
        <v>#VALUE!</v>
      </c>
      <c r="W54" s="1" t="str">
        <f aca="false" t="array" ref="W54:W54">IF(J54&lt;&gt;"",_xlfn.IFS(V54&gt;0,"CUT",V54&lt;0,"FALL"),"")</f>
        <v/>
      </c>
      <c r="X54" s="1" t="str">
        <f aca="false">IF(SUM(D54)&lt;&gt;0,"Turning Point","")</f>
        <v/>
      </c>
      <c r="Y54" s="1" t="str">
        <f aca="false">IF(COUNT(D54:F54)&lt;&gt;0,COUNT(C$13:$C53)+1,"")</f>
        <v/>
      </c>
      <c r="Z54" s="1" t="str">
        <f aca="false">IF(X54="Turning Point",COUNT(Z$13:$Z53)+1,"")</f>
        <v/>
      </c>
      <c r="AA54" s="1" t="str">
        <f aca="false">IF(AD54&lt;&gt;"",AD54,IF(Y54&lt;&gt;"",CONCATENATE(X54," ",Z54),""))</f>
        <v/>
      </c>
      <c r="AD54" s="4" t="str">
        <f aca="false">IF(F54&lt;&gt;"",IF(AC54=$AB$14,IF(Z54&lt;&gt;"","","end"),""),"")</f>
        <v/>
      </c>
    </row>
    <row r="55" customFormat="false" ht="24" hidden="false" customHeight="true" outlineLevel="0" collapsed="false">
      <c r="C55" s="27" t="n">
        <v>42</v>
      </c>
      <c r="D55" s="37"/>
      <c r="E55" s="37"/>
      <c r="F55" s="37"/>
      <c r="G55" s="38"/>
      <c r="H55" s="38" t="str">
        <f aca="false">IF(AND(D55="",E55="",F55=""),"",Q55)</f>
        <v/>
      </c>
      <c r="I55" s="31" t="str">
        <f aca="false">IF(COUNT(C55:F55)&gt;1,C55,IF(J55&lt;&gt;"",COUNT($I$13:I54)+1,""))</f>
        <v/>
      </c>
      <c r="J55" s="39" t="str">
        <f aca="false">IF(COUNT(D55:F55)&gt;0,V55,"")</f>
        <v/>
      </c>
      <c r="K55" s="40" t="str">
        <f aca="false">IF(COUNT(D55:F55,I55)&gt;1,D54+E54-E55-F55,"")</f>
        <v/>
      </c>
      <c r="L55" s="41" t="str">
        <f aca="false">AA55</f>
        <v/>
      </c>
      <c r="P55" s="42" t="n">
        <f aca="false">Q55+E55+D55</f>
        <v>0</v>
      </c>
      <c r="Q55" s="42" t="n">
        <f aca="false">P54-E55-F55</f>
        <v>0</v>
      </c>
      <c r="S55" s="1" t="str">
        <f aca="false">IF(D55="",S54,G55)</f>
        <v/>
      </c>
      <c r="T55" s="1" t="str">
        <f aca="false">IF(D55="",T54,D55)</f>
        <v/>
      </c>
      <c r="U55" s="1" t="str">
        <f aca="false">IF(S55&lt;&gt;"",S55-T55,"")</f>
        <v/>
      </c>
      <c r="V55" s="1" t="e">
        <f aca="false">IF(Q55&lt;&gt;"",Q55-U54,"")</f>
        <v>#VALUE!</v>
      </c>
      <c r="W55" s="1" t="str">
        <f aca="false" t="array" ref="W55:W55">IF(J55&lt;&gt;"",_xlfn.IFS(V55&gt;0,"CUT",V55&lt;0,"FALL"),"")</f>
        <v/>
      </c>
      <c r="X55" s="1" t="str">
        <f aca="false">IF(SUM(D55)&lt;&gt;0,"Turning Point","")</f>
        <v/>
      </c>
      <c r="Y55" s="1" t="str">
        <f aca="false">IF(COUNT(D55:F55)&lt;&gt;0,COUNT(C$13:$C54)+1,"")</f>
        <v/>
      </c>
      <c r="Z55" s="1" t="str">
        <f aca="false">IF(X55="Turning Point",COUNT(Z$13:$Z54)+1,"")</f>
        <v/>
      </c>
      <c r="AA55" s="1" t="str">
        <f aca="false">IF(AD55&lt;&gt;"",AD55,IF(Y55&lt;&gt;"",CONCATENATE(X55," ",Z55),""))</f>
        <v/>
      </c>
      <c r="AD55" s="4" t="str">
        <f aca="false">IF(F55&lt;&gt;"",IF(AC55=$AB$14,IF(Z55&lt;&gt;"","","end"),""),"")</f>
        <v/>
      </c>
    </row>
    <row r="56" customFormat="false" ht="24" hidden="false" customHeight="true" outlineLevel="0" collapsed="false">
      <c r="C56" s="36" t="n">
        <v>43</v>
      </c>
      <c r="D56" s="37"/>
      <c r="E56" s="37"/>
      <c r="F56" s="37"/>
      <c r="G56" s="38"/>
      <c r="H56" s="38" t="str">
        <f aca="false">IF(AND(D56="",E56="",F56=""),"",Q56)</f>
        <v/>
      </c>
      <c r="I56" s="31" t="str">
        <f aca="false">IF(COUNT(C56:F56)&gt;1,C56,IF(J56&lt;&gt;"",COUNT($I$13:I55)+1,""))</f>
        <v/>
      </c>
      <c r="J56" s="39" t="str">
        <f aca="false">IF(COUNT(D56:F56)&gt;0,V56,"")</f>
        <v/>
      </c>
      <c r="K56" s="40" t="str">
        <f aca="false">IF(COUNT(D56:F56,I56)&gt;1,D55+E55-E56-F56,"")</f>
        <v/>
      </c>
      <c r="L56" s="41" t="str">
        <f aca="false">AA56</f>
        <v/>
      </c>
      <c r="P56" s="42" t="n">
        <f aca="false">Q56+E56+D56</f>
        <v>0</v>
      </c>
      <c r="Q56" s="42" t="n">
        <f aca="false">P55-E56-F56</f>
        <v>0</v>
      </c>
      <c r="S56" s="1" t="str">
        <f aca="false">IF(D56="",S55,G56)</f>
        <v/>
      </c>
      <c r="T56" s="1" t="str">
        <f aca="false">IF(D56="",T55,D56)</f>
        <v/>
      </c>
      <c r="U56" s="1" t="str">
        <f aca="false">IF(S56&lt;&gt;"",S56-T56,"")</f>
        <v/>
      </c>
      <c r="V56" s="1" t="e">
        <f aca="false">IF(Q56&lt;&gt;"",Q56-U55,"")</f>
        <v>#VALUE!</v>
      </c>
      <c r="W56" s="1" t="str">
        <f aca="false" t="array" ref="W56:W56">IF(J56&lt;&gt;"",_xlfn.IFS(V56&gt;0,"CUT",V56&lt;0,"FALL"),"")</f>
        <v/>
      </c>
      <c r="X56" s="1" t="str">
        <f aca="false">IF(SUM(D56)&lt;&gt;0,"Turning Point","")</f>
        <v/>
      </c>
      <c r="Y56" s="1" t="str">
        <f aca="false">IF(COUNT(D56:F56)&lt;&gt;0,COUNT(C$13:$C55)+1,"")</f>
        <v/>
      </c>
      <c r="Z56" s="1" t="str">
        <f aca="false">IF(X56="Turning Point",COUNT(Z$13:$Z55)+1,"")</f>
        <v/>
      </c>
      <c r="AA56" s="1" t="str">
        <f aca="false">IF(AD56&lt;&gt;"",AD56,IF(Y56&lt;&gt;"",CONCATENATE(X56," ",Z56),""))</f>
        <v/>
      </c>
      <c r="AD56" s="4" t="str">
        <f aca="false">IF(F56&lt;&gt;"",IF(AC56=$AB$14,IF(Z56&lt;&gt;"","","end"),""),"")</f>
        <v/>
      </c>
    </row>
    <row r="57" customFormat="false" ht="24" hidden="false" customHeight="true" outlineLevel="0" collapsed="false">
      <c r="C57" s="27" t="n">
        <v>44</v>
      </c>
      <c r="D57" s="37"/>
      <c r="E57" s="37"/>
      <c r="F57" s="37"/>
      <c r="G57" s="38"/>
      <c r="H57" s="38" t="str">
        <f aca="false">IF(AND(D57="",E57="",F57=""),"",Q57)</f>
        <v/>
      </c>
      <c r="I57" s="31" t="str">
        <f aca="false">IF(COUNT(C57:F57)&gt;1,C57,IF(J57&lt;&gt;"",COUNT($I$13:I56)+1,""))</f>
        <v/>
      </c>
      <c r="J57" s="39" t="str">
        <f aca="false">IF(COUNT(D57:F57)&gt;0,V57,"")</f>
        <v/>
      </c>
      <c r="K57" s="40" t="str">
        <f aca="false">IF(COUNT(D57:F57,I57)&gt;1,D56+E56-E57-F57,"")</f>
        <v/>
      </c>
      <c r="L57" s="41" t="str">
        <f aca="false">AA57</f>
        <v/>
      </c>
      <c r="P57" s="42" t="n">
        <f aca="false">Q57+E57+D57</f>
        <v>0</v>
      </c>
      <c r="Q57" s="42" t="n">
        <f aca="false">P56-E57-F57</f>
        <v>0</v>
      </c>
      <c r="S57" s="1" t="str">
        <f aca="false">IF(D57="",S56,G57)</f>
        <v/>
      </c>
      <c r="T57" s="1" t="str">
        <f aca="false">IF(D57="",T56,D57)</f>
        <v/>
      </c>
      <c r="U57" s="1" t="str">
        <f aca="false">IF(S57&lt;&gt;"",S57-T57,"")</f>
        <v/>
      </c>
      <c r="V57" s="1" t="e">
        <f aca="false">IF(Q57&lt;&gt;"",Q57-U56,"")</f>
        <v>#VALUE!</v>
      </c>
      <c r="W57" s="1" t="str">
        <f aca="false" t="array" ref="W57:W57">IF(J57&lt;&gt;"",_xlfn.IFS(V57&gt;0,"CUT",V57&lt;0,"FALL"),"")</f>
        <v/>
      </c>
      <c r="X57" s="1" t="str">
        <f aca="false">IF(SUM(D57)&lt;&gt;0,"Turning Point","")</f>
        <v/>
      </c>
      <c r="Y57" s="1" t="str">
        <f aca="false">IF(COUNT(D57:F57)&lt;&gt;0,COUNT(C$13:$C56)+1,"")</f>
        <v/>
      </c>
      <c r="Z57" s="1" t="str">
        <f aca="false">IF(X57="Turning Point",COUNT(Z$13:$Z56)+1,"")</f>
        <v/>
      </c>
      <c r="AA57" s="1" t="str">
        <f aca="false">IF(AD57&lt;&gt;"",AD57,IF(Y57&lt;&gt;"",CONCATENATE(X57," ",Z57),""))</f>
        <v/>
      </c>
      <c r="AD57" s="4" t="str">
        <f aca="false">IF(F57&lt;&gt;"",IF(AC57=$AB$14,IF(Z57&lt;&gt;"","","end"),""),"")</f>
        <v/>
      </c>
    </row>
    <row r="58" customFormat="false" ht="24" hidden="false" customHeight="true" outlineLevel="0" collapsed="false">
      <c r="C58" s="36" t="n">
        <v>45</v>
      </c>
      <c r="D58" s="37"/>
      <c r="E58" s="37"/>
      <c r="F58" s="37"/>
      <c r="G58" s="38"/>
      <c r="H58" s="38" t="str">
        <f aca="false">IF(AND(D58="",E58="",F58=""),"",Q58)</f>
        <v/>
      </c>
      <c r="I58" s="31" t="str">
        <f aca="false">IF(COUNT(C58:F58)&gt;1,C58,IF(J58&lt;&gt;"",COUNT($I$13:I57)+1,""))</f>
        <v/>
      </c>
      <c r="J58" s="39" t="str">
        <f aca="false">IF(COUNT(D58:F58)&gt;0,V58,"")</f>
        <v/>
      </c>
      <c r="K58" s="40" t="str">
        <f aca="false">IF(COUNT(D58:F58,I58)&gt;1,D57+E57-E58-F58,"")</f>
        <v/>
      </c>
      <c r="L58" s="41" t="str">
        <f aca="false">AA58</f>
        <v/>
      </c>
      <c r="P58" s="42" t="n">
        <f aca="false">Q58+E58+D58</f>
        <v>0</v>
      </c>
      <c r="Q58" s="42" t="n">
        <f aca="false">P57-E58-F58</f>
        <v>0</v>
      </c>
      <c r="S58" s="1" t="str">
        <f aca="false">IF(D58="",S57,G58)</f>
        <v/>
      </c>
      <c r="T58" s="1" t="str">
        <f aca="false">IF(D58="",T57,D58)</f>
        <v/>
      </c>
      <c r="U58" s="1" t="str">
        <f aca="false">IF(S58&lt;&gt;"",S58-T58,"")</f>
        <v/>
      </c>
      <c r="V58" s="1" t="e">
        <f aca="false">IF(Q58&lt;&gt;"",Q58-U57,"")</f>
        <v>#VALUE!</v>
      </c>
      <c r="W58" s="1" t="str">
        <f aca="false" t="array" ref="W58:W58">IF(J58&lt;&gt;"",_xlfn.IFS(V58&gt;0,"CUT",V58&lt;0,"FALL"),"")</f>
        <v/>
      </c>
      <c r="X58" s="1" t="str">
        <f aca="false">IF(SUM(D58)&lt;&gt;0,"Turning Point","")</f>
        <v/>
      </c>
      <c r="Y58" s="1" t="str">
        <f aca="false">IF(COUNT(D58:F58)&lt;&gt;0,COUNT(C$13:$C57)+1,"")</f>
        <v/>
      </c>
      <c r="Z58" s="1" t="str">
        <f aca="false">IF(X58="Turning Point",COUNT(Z$13:$Z57)+1,"")</f>
        <v/>
      </c>
      <c r="AA58" s="1" t="str">
        <f aca="false">IF(AD58&lt;&gt;"",AD58,IF(Y58&lt;&gt;"",CONCATENATE(X58," ",Z58),""))</f>
        <v/>
      </c>
      <c r="AD58" s="4" t="str">
        <f aca="false">IF(F58&lt;&gt;"",IF(AC58=$AB$14,IF(Z58&lt;&gt;"","","end"),""),"")</f>
        <v/>
      </c>
    </row>
    <row r="59" customFormat="false" ht="24" hidden="false" customHeight="true" outlineLevel="0" collapsed="false">
      <c r="C59" s="27" t="n">
        <v>46</v>
      </c>
      <c r="D59" s="37"/>
      <c r="E59" s="37"/>
      <c r="F59" s="37"/>
      <c r="G59" s="38"/>
      <c r="H59" s="38" t="str">
        <f aca="false">IF(AND(D59="",E59="",F59=""),"",Q59)</f>
        <v/>
      </c>
      <c r="I59" s="31" t="str">
        <f aca="false">IF(COUNT(C59:F59)&gt;1,C59,IF(J59&lt;&gt;"",COUNT($I$13:I58)+1,""))</f>
        <v/>
      </c>
      <c r="J59" s="39" t="str">
        <f aca="false">IF(COUNT(D59:F59)&gt;0,V59,"")</f>
        <v/>
      </c>
      <c r="K59" s="40" t="str">
        <f aca="false">IF(COUNT(D59:F59,I59)&gt;1,D58+E58-E59-F59,"")</f>
        <v/>
      </c>
      <c r="L59" s="41" t="str">
        <f aca="false">AA59</f>
        <v/>
      </c>
      <c r="P59" s="42" t="n">
        <f aca="false">Q59+E59+D59</f>
        <v>0</v>
      </c>
      <c r="Q59" s="42" t="n">
        <f aca="false">P58-E59-F59</f>
        <v>0</v>
      </c>
      <c r="S59" s="1" t="str">
        <f aca="false">IF(D59="",S58,G59)</f>
        <v/>
      </c>
      <c r="T59" s="1" t="str">
        <f aca="false">IF(D59="",T58,D59)</f>
        <v/>
      </c>
      <c r="U59" s="1" t="str">
        <f aca="false">IF(S59&lt;&gt;"",S59-T59,"")</f>
        <v/>
      </c>
      <c r="V59" s="1" t="e">
        <f aca="false">IF(Q59&lt;&gt;"",Q59-U58,"")</f>
        <v>#VALUE!</v>
      </c>
      <c r="W59" s="1" t="str">
        <f aca="false" t="array" ref="W59:W59">IF(J59&lt;&gt;"",_xlfn.IFS(V59&gt;0,"CUT",V59&lt;0,"FALL"),"")</f>
        <v/>
      </c>
      <c r="X59" s="1" t="str">
        <f aca="false">IF(SUM(D59)&lt;&gt;0,"Turning Point","")</f>
        <v/>
      </c>
      <c r="Y59" s="1" t="str">
        <f aca="false">IF(COUNT(D59:F59)&lt;&gt;0,COUNT(C$13:$C58)+1,"")</f>
        <v/>
      </c>
      <c r="Z59" s="1" t="str">
        <f aca="false">IF(X59="Turning Point",COUNT(Z$13:$Z58)+1,"")</f>
        <v/>
      </c>
      <c r="AA59" s="1" t="str">
        <f aca="false">IF(AD59&lt;&gt;"",AD59,IF(Y59&lt;&gt;"",CONCATENATE(X59," ",Z59),""))</f>
        <v/>
      </c>
      <c r="AD59" s="4" t="str">
        <f aca="false">IF(F59&lt;&gt;"",IF(AC59=$AB$14,IF(Z59&lt;&gt;"","","end"),""),"")</f>
        <v/>
      </c>
    </row>
    <row r="60" customFormat="false" ht="24" hidden="false" customHeight="true" outlineLevel="0" collapsed="false">
      <c r="C60" s="36" t="n">
        <v>47</v>
      </c>
      <c r="D60" s="37"/>
      <c r="E60" s="37"/>
      <c r="F60" s="37"/>
      <c r="G60" s="38"/>
      <c r="H60" s="38" t="str">
        <f aca="false">IF(AND(D60="",E60="",F60=""),"",Q60)</f>
        <v/>
      </c>
      <c r="I60" s="31" t="str">
        <f aca="false">IF(COUNT(C60:F60)&gt;1,C60,IF(J60&lt;&gt;"",COUNT($I$13:I59)+1,""))</f>
        <v/>
      </c>
      <c r="J60" s="39" t="str">
        <f aca="false">IF(COUNT(D60:F60)&gt;0,V60,"")</f>
        <v/>
      </c>
      <c r="K60" s="40" t="str">
        <f aca="false">IF(COUNT(D60:F60,I60)&gt;1,D59+E59-E60-F60,"")</f>
        <v/>
      </c>
      <c r="L60" s="41" t="str">
        <f aca="false">AA60</f>
        <v/>
      </c>
      <c r="P60" s="42" t="n">
        <f aca="false">Q60+E60+D60</f>
        <v>0</v>
      </c>
      <c r="Q60" s="42" t="n">
        <f aca="false">P59-E60-F60</f>
        <v>0</v>
      </c>
      <c r="S60" s="1" t="str">
        <f aca="false">IF(D60="",S59,G60)</f>
        <v/>
      </c>
      <c r="T60" s="1" t="str">
        <f aca="false">IF(D60="",T59,D60)</f>
        <v/>
      </c>
      <c r="U60" s="1" t="str">
        <f aca="false">IF(S60&lt;&gt;"",S60-T60,"")</f>
        <v/>
      </c>
      <c r="V60" s="1" t="e">
        <f aca="false">IF(Q60&lt;&gt;"",Q60-U59,"")</f>
        <v>#VALUE!</v>
      </c>
      <c r="W60" s="1" t="str">
        <f aca="false" t="array" ref="W60:W60">IF(J60&lt;&gt;"",_xlfn.IFS(V60&gt;0,"CUT",V60&lt;0,"FALL"),"")</f>
        <v/>
      </c>
      <c r="X60" s="1" t="str">
        <f aca="false">IF(SUM(D60)&lt;&gt;0,"Turning Point","")</f>
        <v/>
      </c>
      <c r="Y60" s="1" t="str">
        <f aca="false">IF(COUNT(D60:F60)&lt;&gt;0,COUNT(C$13:$C59)+1,"")</f>
        <v/>
      </c>
      <c r="Z60" s="1" t="str">
        <f aca="false">IF(X60="Turning Point",COUNT(Z$13:$Z59)+1,"")</f>
        <v/>
      </c>
      <c r="AA60" s="1" t="str">
        <f aca="false">IF(AD60&lt;&gt;"",AD60,IF(Y60&lt;&gt;"",CONCATENATE(X60," ",Z60),""))</f>
        <v/>
      </c>
      <c r="AD60" s="4" t="str">
        <f aca="false">IF(F60&lt;&gt;"",IF(AC60=$AB$14,IF(Z60&lt;&gt;"","","end"),""),"")</f>
        <v/>
      </c>
    </row>
    <row r="61" customFormat="false" ht="24" hidden="false" customHeight="true" outlineLevel="0" collapsed="false">
      <c r="C61" s="27" t="n">
        <v>48</v>
      </c>
      <c r="D61" s="37"/>
      <c r="E61" s="37"/>
      <c r="F61" s="37"/>
      <c r="G61" s="38"/>
      <c r="H61" s="38" t="str">
        <f aca="false">IF(AND(D61="",E61="",F61=""),"",Q61)</f>
        <v/>
      </c>
      <c r="I61" s="31" t="str">
        <f aca="false">IF(COUNT(C61:F61)&gt;1,C61,IF(J61&lt;&gt;"",COUNT($I$13:I60)+1,""))</f>
        <v/>
      </c>
      <c r="J61" s="39" t="str">
        <f aca="false">IF(COUNT(D61:F61)&gt;0,V61,"")</f>
        <v/>
      </c>
      <c r="K61" s="40" t="str">
        <f aca="false">IF(COUNT(D61:F61,I61)&gt;1,D60+E60-E61-F61,"")</f>
        <v/>
      </c>
      <c r="L61" s="41" t="str">
        <f aca="false">AA61</f>
        <v/>
      </c>
      <c r="P61" s="42" t="n">
        <f aca="false">Q61+E61+D61</f>
        <v>0</v>
      </c>
      <c r="Q61" s="42" t="n">
        <f aca="false">P60-E61-F61</f>
        <v>0</v>
      </c>
      <c r="S61" s="1" t="str">
        <f aca="false">IF(D61="",S60,G61)</f>
        <v/>
      </c>
      <c r="T61" s="1" t="str">
        <f aca="false">IF(D61="",T60,D61)</f>
        <v/>
      </c>
      <c r="U61" s="1" t="str">
        <f aca="false">IF(S61&lt;&gt;"",S61-T61,"")</f>
        <v/>
      </c>
      <c r="V61" s="1" t="e">
        <f aca="false">IF(Q61&lt;&gt;"",Q61-U60,"")</f>
        <v>#VALUE!</v>
      </c>
      <c r="W61" s="1" t="str">
        <f aca="false" t="array" ref="W61:W61">IF(J61&lt;&gt;"",_xlfn.IFS(V61&gt;0,"CUT",V61&lt;0,"FALL"),"")</f>
        <v/>
      </c>
      <c r="X61" s="1" t="str">
        <f aca="false">IF(SUM(D61)&lt;&gt;0,"Turning Point","")</f>
        <v/>
      </c>
      <c r="Y61" s="1" t="str">
        <f aca="false">IF(COUNT(D61:F61)&lt;&gt;0,COUNT(C$13:$C60)+1,"")</f>
        <v/>
      </c>
      <c r="Z61" s="1" t="str">
        <f aca="false">IF(X61="Turning Point",COUNT(Z$13:$Z60)+1,"")</f>
        <v/>
      </c>
      <c r="AA61" s="1" t="str">
        <f aca="false">IF(AD61&lt;&gt;"",AD61,IF(Y61&lt;&gt;"",CONCATENATE(X61," ",Z61),""))</f>
        <v/>
      </c>
      <c r="AD61" s="4" t="str">
        <f aca="false">IF(F61&lt;&gt;"",IF(AC61=$AB$14,IF(Z61&lt;&gt;"","","end"),""),"")</f>
        <v/>
      </c>
    </row>
    <row r="62" customFormat="false" ht="24" hidden="false" customHeight="true" outlineLevel="0" collapsed="false">
      <c r="C62" s="36" t="n">
        <v>49</v>
      </c>
      <c r="D62" s="37"/>
      <c r="E62" s="37"/>
      <c r="F62" s="37"/>
      <c r="G62" s="38"/>
      <c r="H62" s="38" t="str">
        <f aca="false">IF(AND(D62="",E62="",F62=""),"",Q62)</f>
        <v/>
      </c>
      <c r="I62" s="31" t="str">
        <f aca="false">IF(COUNT(C62:F62)&gt;1,C62,IF(J62&lt;&gt;"",COUNT($I$13:I61)+1,""))</f>
        <v/>
      </c>
      <c r="J62" s="39" t="str">
        <f aca="false">IF(COUNT(D62:F62)&gt;0,V62,"")</f>
        <v/>
      </c>
      <c r="K62" s="40" t="str">
        <f aca="false">IF(COUNT(D62:F62,I62)&gt;1,D61+E61-E62-F62,"")</f>
        <v/>
      </c>
      <c r="L62" s="41" t="str">
        <f aca="false">AA62</f>
        <v/>
      </c>
      <c r="P62" s="42" t="n">
        <f aca="false">Q62+E62+D62</f>
        <v>0</v>
      </c>
      <c r="Q62" s="42" t="n">
        <f aca="false">P61-E62-F62</f>
        <v>0</v>
      </c>
      <c r="S62" s="1" t="str">
        <f aca="false">IF(D62="",S61,G62)</f>
        <v/>
      </c>
      <c r="T62" s="1" t="str">
        <f aca="false">IF(D62="",T61,D62)</f>
        <v/>
      </c>
      <c r="U62" s="1" t="str">
        <f aca="false">IF(S62&lt;&gt;"",S62-T62,"")</f>
        <v/>
      </c>
      <c r="V62" s="1" t="e">
        <f aca="false">IF(Q62&lt;&gt;"",Q62-U61,"")</f>
        <v>#VALUE!</v>
      </c>
      <c r="W62" s="1" t="str">
        <f aca="false" t="array" ref="W62:W62">IF(J62&lt;&gt;"",_xlfn.IFS(V62&gt;0,"CUT",V62&lt;0,"FALL"),"")</f>
        <v/>
      </c>
      <c r="X62" s="1" t="str">
        <f aca="false">IF(SUM(D62)&lt;&gt;0,"Turning Point","")</f>
        <v/>
      </c>
      <c r="Y62" s="1" t="str">
        <f aca="false">IF(COUNT(D62:F62)&lt;&gt;0,COUNT(C$13:$C61)+1,"")</f>
        <v/>
      </c>
      <c r="Z62" s="1" t="str">
        <f aca="false">IF(X62="Turning Point",COUNT(Z$13:$Z61)+1,"")</f>
        <v/>
      </c>
      <c r="AA62" s="1" t="str">
        <f aca="false">IF(AD62&lt;&gt;"",AD62,IF(Y62&lt;&gt;"",CONCATENATE(X62," ",Z62),""))</f>
        <v/>
      </c>
      <c r="AD62" s="4" t="str">
        <f aca="false">IF(F62&lt;&gt;"",IF(AC62=$AB$14,IF(Z62&lt;&gt;"","","end"),""),"")</f>
        <v/>
      </c>
    </row>
    <row r="63" customFormat="false" ht="24" hidden="false" customHeight="true" outlineLevel="0" collapsed="false">
      <c r="C63" s="27" t="n">
        <v>50</v>
      </c>
      <c r="D63" s="37"/>
      <c r="E63" s="37"/>
      <c r="F63" s="37"/>
      <c r="G63" s="38"/>
      <c r="H63" s="38" t="str">
        <f aca="false">IF(AND(D63="",E63="",F63=""),"",Q63)</f>
        <v/>
      </c>
      <c r="I63" s="31" t="str">
        <f aca="false">IF(COUNT(C63:F63)&gt;1,C63,IF(J63&lt;&gt;"",COUNT($I$13:I62)+1,""))</f>
        <v/>
      </c>
      <c r="J63" s="39" t="str">
        <f aca="false">IF(COUNT(D63:F63)&gt;0,V63,"")</f>
        <v/>
      </c>
      <c r="K63" s="40" t="str">
        <f aca="false">IF(COUNT(D63:F63,I63)&gt;1,D62+E62-E63-F63,"")</f>
        <v/>
      </c>
      <c r="L63" s="41" t="str">
        <f aca="false">AA63</f>
        <v/>
      </c>
      <c r="P63" s="42" t="n">
        <f aca="false">Q63+E63+D63</f>
        <v>0</v>
      </c>
      <c r="Q63" s="42" t="n">
        <f aca="false">P62-E63-F63</f>
        <v>0</v>
      </c>
      <c r="S63" s="1" t="str">
        <f aca="false">IF(D63="",S62,G63)</f>
        <v/>
      </c>
      <c r="T63" s="1" t="str">
        <f aca="false">IF(D63="",T62,D63)</f>
        <v/>
      </c>
      <c r="U63" s="1" t="str">
        <f aca="false">IF(S63&lt;&gt;"",S63-T63,"")</f>
        <v/>
      </c>
      <c r="V63" s="1" t="e">
        <f aca="false">IF(Q63&lt;&gt;"",Q63-U62,"")</f>
        <v>#VALUE!</v>
      </c>
      <c r="W63" s="1" t="str">
        <f aca="false" t="array" ref="W63:W63">IF(J63&lt;&gt;"",_xlfn.IFS(V63&gt;0,"CUT",V63&lt;0,"FALL"),"")</f>
        <v/>
      </c>
      <c r="X63" s="1" t="str">
        <f aca="false">IF(SUM(D63)&lt;&gt;0,"Turning Point","")</f>
        <v/>
      </c>
      <c r="Y63" s="1" t="str">
        <f aca="false">IF(COUNT(D63:F63)&lt;&gt;0,COUNT(C$13:$C62)+1,"")</f>
        <v/>
      </c>
      <c r="Z63" s="1" t="str">
        <f aca="false">IF(X63="Turning Point",COUNT(Z$13:$Z62)+1,"")</f>
        <v/>
      </c>
      <c r="AA63" s="1" t="str">
        <f aca="false">IF(AD63&lt;&gt;"",AD63,IF(Y63&lt;&gt;"",CONCATENATE(X63," ",Z63),""))</f>
        <v/>
      </c>
      <c r="AD63" s="4" t="str">
        <f aca="false">IF(F63&lt;&gt;"",IF(AC63=$AB$14,IF(Z63&lt;&gt;"","","end"),""),"")</f>
        <v/>
      </c>
    </row>
    <row r="64" customFormat="false" ht="24" hidden="false" customHeight="true" outlineLevel="0" collapsed="false">
      <c r="C64" s="36" t="n">
        <v>51</v>
      </c>
      <c r="D64" s="37"/>
      <c r="E64" s="37"/>
      <c r="F64" s="37"/>
      <c r="G64" s="38"/>
      <c r="H64" s="38" t="str">
        <f aca="false">IF(AND(D64="",E64="",F64=""),"",Q64)</f>
        <v/>
      </c>
      <c r="I64" s="31" t="str">
        <f aca="false">IF(COUNT(C64:F64)&gt;1,C64,IF(J64&lt;&gt;"",COUNT($I$13:I63)+1,""))</f>
        <v/>
      </c>
      <c r="J64" s="39" t="str">
        <f aca="false">IF(COUNT(D64:F64)&gt;0,V64,"")</f>
        <v/>
      </c>
      <c r="K64" s="40" t="str">
        <f aca="false">IF(COUNT(D64:F64,I64)&gt;1,D63+E63-E64-F64,"")</f>
        <v/>
      </c>
      <c r="L64" s="41" t="str">
        <f aca="false">AA64</f>
        <v/>
      </c>
      <c r="P64" s="42" t="n">
        <f aca="false">Q64+E64+D64</f>
        <v>0</v>
      </c>
      <c r="Q64" s="42" t="n">
        <f aca="false">P63-E64-F64</f>
        <v>0</v>
      </c>
      <c r="S64" s="1" t="str">
        <f aca="false">IF(D64="",S63,G64)</f>
        <v/>
      </c>
      <c r="T64" s="1" t="str">
        <f aca="false">IF(D64="",T63,D64)</f>
        <v/>
      </c>
      <c r="U64" s="1" t="str">
        <f aca="false">IF(S64&lt;&gt;"",S64-T64,"")</f>
        <v/>
      </c>
      <c r="V64" s="1" t="e">
        <f aca="false">IF(Q64&lt;&gt;"",Q64-U63,"")</f>
        <v>#VALUE!</v>
      </c>
      <c r="W64" s="1" t="str">
        <f aca="false" t="array" ref="W64:W64">IF(J64&lt;&gt;"",_xlfn.IFS(V64&gt;0,"CUT",V64&lt;0,"FALL"),"")</f>
        <v/>
      </c>
      <c r="X64" s="1" t="str">
        <f aca="false">IF(SUM(D64)&lt;&gt;0,"Turning Point","")</f>
        <v/>
      </c>
      <c r="Y64" s="1" t="str">
        <f aca="false">IF(COUNT(D64:F64)&lt;&gt;0,COUNT(C$13:$C63)+1,"")</f>
        <v/>
      </c>
      <c r="Z64" s="1" t="str">
        <f aca="false">IF(X64="Turning Point",COUNT(Z$13:$Z63)+1,"")</f>
        <v/>
      </c>
      <c r="AA64" s="1" t="str">
        <f aca="false">IF(AD64&lt;&gt;"",AD64,IF(Y64&lt;&gt;"",CONCATENATE(X64," ",Z64),""))</f>
        <v/>
      </c>
      <c r="AD64" s="4" t="str">
        <f aca="false">IF(F64&lt;&gt;"",IF(AC64=$AB$14,IF(Z64&lt;&gt;"","","end"),""),"")</f>
        <v/>
      </c>
    </row>
    <row r="65" customFormat="false" ht="24" hidden="false" customHeight="true" outlineLevel="0" collapsed="false">
      <c r="C65" s="27" t="n">
        <v>52</v>
      </c>
      <c r="D65" s="37"/>
      <c r="E65" s="37"/>
      <c r="F65" s="37"/>
      <c r="G65" s="38"/>
      <c r="H65" s="38" t="str">
        <f aca="false">IF(AND(D65="",E65="",F65=""),"",Q65)</f>
        <v/>
      </c>
      <c r="I65" s="31" t="str">
        <f aca="false">IF(COUNT(C65:F65)&gt;1,C65,IF(J65&lt;&gt;"",COUNT($I$13:I64)+1,""))</f>
        <v/>
      </c>
      <c r="J65" s="39" t="str">
        <f aca="false">IF(COUNT(D65:F65)&gt;0,V65,"")</f>
        <v/>
      </c>
      <c r="K65" s="40" t="str">
        <f aca="false">IF(COUNT(D65:F65,I65)&gt;1,D64+E64-E65-F65,"")</f>
        <v/>
      </c>
      <c r="L65" s="41" t="str">
        <f aca="false">AA65</f>
        <v/>
      </c>
      <c r="P65" s="42" t="n">
        <f aca="false">Q65+E65+D65</f>
        <v>0</v>
      </c>
      <c r="Q65" s="42" t="n">
        <f aca="false">P64-E65-F65</f>
        <v>0</v>
      </c>
      <c r="S65" s="1" t="str">
        <f aca="false">IF(D65="",S64,G65)</f>
        <v/>
      </c>
      <c r="T65" s="1" t="str">
        <f aca="false">IF(D65="",T64,D65)</f>
        <v/>
      </c>
      <c r="U65" s="1" t="str">
        <f aca="false">IF(S65&lt;&gt;"",S65-T65,"")</f>
        <v/>
      </c>
      <c r="V65" s="1" t="e">
        <f aca="false">IF(Q65&lt;&gt;"",Q65-U64,"")</f>
        <v>#VALUE!</v>
      </c>
      <c r="W65" s="1" t="str">
        <f aca="false" t="array" ref="W65:W65">IF(J65&lt;&gt;"",_xlfn.IFS(V65&gt;0,"CUT",V65&lt;0,"FALL"),"")</f>
        <v/>
      </c>
      <c r="X65" s="1" t="str">
        <f aca="false">IF(SUM(D65)&lt;&gt;0,"Turning Point","")</f>
        <v/>
      </c>
      <c r="Y65" s="1" t="str">
        <f aca="false">IF(COUNT(D65:F65)&lt;&gt;0,COUNT(C$13:$C64)+1,"")</f>
        <v/>
      </c>
      <c r="Z65" s="1" t="str">
        <f aca="false">IF(X65="Turning Point",COUNT(Z$13:$Z64)+1,"")</f>
        <v/>
      </c>
      <c r="AA65" s="1" t="str">
        <f aca="false">IF(AD65&lt;&gt;"",AD65,IF(Y65&lt;&gt;"",CONCATENATE(X65," ",Z65),""))</f>
        <v/>
      </c>
      <c r="AD65" s="4" t="str">
        <f aca="false">IF(F65&lt;&gt;"",IF(AC65=$AB$14,IF(Z65&lt;&gt;"","","end"),""),"")</f>
        <v/>
      </c>
    </row>
    <row r="66" customFormat="false" ht="24" hidden="false" customHeight="true" outlineLevel="0" collapsed="false">
      <c r="C66" s="36" t="n">
        <v>53</v>
      </c>
      <c r="D66" s="37"/>
      <c r="E66" s="37"/>
      <c r="F66" s="37"/>
      <c r="G66" s="38"/>
      <c r="H66" s="38" t="str">
        <f aca="false">IF(AND(D66="",E66="",F66=""),"",Q66)</f>
        <v/>
      </c>
      <c r="I66" s="31" t="str">
        <f aca="false">IF(COUNT(C66:F66)&gt;1,C66,IF(J66&lt;&gt;"",COUNT($I$13:I65)+1,""))</f>
        <v/>
      </c>
      <c r="J66" s="39" t="str">
        <f aca="false">IF(COUNT(D66:F66)&gt;0,V66,"")</f>
        <v/>
      </c>
      <c r="K66" s="40" t="str">
        <f aca="false">IF(COUNT(D66:F66,I66)&gt;1,D65+E65-E66-F66,"")</f>
        <v/>
      </c>
      <c r="L66" s="41" t="str">
        <f aca="false">AA66</f>
        <v/>
      </c>
      <c r="P66" s="42" t="n">
        <f aca="false">Q66+E66+D66</f>
        <v>0</v>
      </c>
      <c r="Q66" s="42" t="n">
        <f aca="false">P65-E66-F66</f>
        <v>0</v>
      </c>
      <c r="S66" s="1" t="str">
        <f aca="false">IF(D66="",S65,G66)</f>
        <v/>
      </c>
      <c r="T66" s="1" t="str">
        <f aca="false">IF(D66="",T65,D66)</f>
        <v/>
      </c>
      <c r="U66" s="1" t="str">
        <f aca="false">IF(S66&lt;&gt;"",S66-T66,"")</f>
        <v/>
      </c>
      <c r="V66" s="1" t="e">
        <f aca="false">IF(Q66&lt;&gt;"",Q66-U65,"")</f>
        <v>#VALUE!</v>
      </c>
      <c r="W66" s="1" t="str">
        <f aca="false" t="array" ref="W66:W66">IF(J66&lt;&gt;"",_xlfn.IFS(V66&gt;0,"CUT",V66&lt;0,"FALL"),"")</f>
        <v/>
      </c>
      <c r="X66" s="1" t="str">
        <f aca="false">IF(SUM(D66)&lt;&gt;0,"Turning Point","")</f>
        <v/>
      </c>
      <c r="Y66" s="1" t="str">
        <f aca="false">IF(COUNT(D66:F66)&lt;&gt;0,COUNT(C$13:$C65)+1,"")</f>
        <v/>
      </c>
      <c r="Z66" s="1" t="str">
        <f aca="false">IF(X66="Turning Point",COUNT(Z$13:$Z65)+1,"")</f>
        <v/>
      </c>
      <c r="AA66" s="1" t="str">
        <f aca="false">IF(AD66&lt;&gt;"",AD66,IF(Y66&lt;&gt;"",CONCATENATE(X66," ",Z66),""))</f>
        <v/>
      </c>
      <c r="AD66" s="4" t="str">
        <f aca="false">IF(F66&lt;&gt;"",IF(AC66=$AB$14,IF(Z66&lt;&gt;"","","end"),""),"")</f>
        <v/>
      </c>
    </row>
    <row r="67" customFormat="false" ht="24" hidden="false" customHeight="true" outlineLevel="0" collapsed="false">
      <c r="C67" s="27" t="n">
        <v>54</v>
      </c>
      <c r="D67" s="37"/>
      <c r="E67" s="37"/>
      <c r="F67" s="37"/>
      <c r="G67" s="38"/>
      <c r="H67" s="38" t="str">
        <f aca="false">IF(AND(D67="",E67="",F67=""),"",Q67)</f>
        <v/>
      </c>
      <c r="I67" s="31" t="str">
        <f aca="false">IF(COUNT(C67:F67)&gt;1,C67,IF(J67&lt;&gt;"",COUNT($I$13:I66)+1,""))</f>
        <v/>
      </c>
      <c r="J67" s="39" t="str">
        <f aca="false">IF(COUNT(D67:F67)&gt;0,V67,"")</f>
        <v/>
      </c>
      <c r="K67" s="40" t="str">
        <f aca="false">IF(COUNT(D67:F67,I67)&gt;1,D66+E66-E67-F67,"")</f>
        <v/>
      </c>
      <c r="L67" s="41" t="str">
        <f aca="false">AA67</f>
        <v/>
      </c>
      <c r="P67" s="42" t="n">
        <f aca="false">Q67+E67+D67</f>
        <v>0</v>
      </c>
      <c r="Q67" s="42" t="n">
        <f aca="false">P66-E67-F67</f>
        <v>0</v>
      </c>
      <c r="S67" s="1" t="str">
        <f aca="false">IF(D67="",S66,G67)</f>
        <v/>
      </c>
      <c r="T67" s="1" t="str">
        <f aca="false">IF(D67="",T66,D67)</f>
        <v/>
      </c>
      <c r="U67" s="1" t="str">
        <f aca="false">IF(S67&lt;&gt;"",S67-T67,"")</f>
        <v/>
      </c>
      <c r="V67" s="1" t="e">
        <f aca="false">IF(Q67&lt;&gt;"",Q67-U66,"")</f>
        <v>#VALUE!</v>
      </c>
      <c r="W67" s="1" t="str">
        <f aca="false" t="array" ref="W67:W67">IF(J67&lt;&gt;"",_xlfn.IFS(V67&gt;0,"CUT",V67&lt;0,"FALL"),"")</f>
        <v/>
      </c>
      <c r="X67" s="1" t="str">
        <f aca="false">IF(SUM(D67)&lt;&gt;0,"Turning Point","")</f>
        <v/>
      </c>
      <c r="Y67" s="1" t="str">
        <f aca="false">IF(COUNT(D67:F67)&lt;&gt;0,COUNT(C$13:$C66)+1,"")</f>
        <v/>
      </c>
      <c r="Z67" s="1" t="str">
        <f aca="false">IF(X67="Turning Point",COUNT(Z$13:$Z66)+1,"")</f>
        <v/>
      </c>
      <c r="AA67" s="1" t="str">
        <f aca="false">IF(AD67&lt;&gt;"",AD67,IF(Y67&lt;&gt;"",CONCATENATE(X67," ",Z67),""))</f>
        <v/>
      </c>
      <c r="AD67" s="4" t="str">
        <f aca="false">IF(F67&lt;&gt;"",IF(AC67=$AB$14,IF(Z67&lt;&gt;"","","end"),""),"")</f>
        <v/>
      </c>
    </row>
    <row r="68" customFormat="false" ht="24" hidden="false" customHeight="true" outlineLevel="0" collapsed="false">
      <c r="C68" s="36" t="n">
        <v>55</v>
      </c>
      <c r="D68" s="37"/>
      <c r="E68" s="37"/>
      <c r="F68" s="37"/>
      <c r="G68" s="38"/>
      <c r="H68" s="38" t="str">
        <f aca="false">IF(AND(D68="",E68="",F68=""),"",Q68)</f>
        <v/>
      </c>
      <c r="I68" s="31" t="str">
        <f aca="false">IF(COUNT(C68:F68)&gt;1,C68,IF(J68&lt;&gt;"",COUNT($I$13:I67)+1,""))</f>
        <v/>
      </c>
      <c r="J68" s="39" t="str">
        <f aca="false">IF(COUNT(D68:F68)&gt;0,V68,"")</f>
        <v/>
      </c>
      <c r="K68" s="40" t="str">
        <f aca="false">IF(COUNT(D68:F68,I68)&gt;1,D67+E67-E68-F68,"")</f>
        <v/>
      </c>
      <c r="L68" s="41" t="str">
        <f aca="false">AA68</f>
        <v/>
      </c>
      <c r="P68" s="42" t="n">
        <f aca="false">Q68+E68+D68</f>
        <v>0</v>
      </c>
      <c r="Q68" s="42" t="n">
        <f aca="false">P67-E68-F68</f>
        <v>0</v>
      </c>
      <c r="S68" s="1" t="str">
        <f aca="false">IF(D68="",S67,G68)</f>
        <v/>
      </c>
      <c r="T68" s="1" t="str">
        <f aca="false">IF(D68="",T67,D68)</f>
        <v/>
      </c>
      <c r="U68" s="1" t="str">
        <f aca="false">IF(S68&lt;&gt;"",S68-T68,"")</f>
        <v/>
      </c>
      <c r="V68" s="1" t="e">
        <f aca="false">IF(Q68&lt;&gt;"",Q68-U67,"")</f>
        <v>#VALUE!</v>
      </c>
      <c r="W68" s="1" t="str">
        <f aca="false" t="array" ref="W68:W68">IF(J68&lt;&gt;"",_xlfn.IFS(V68&gt;0,"CUT",V68&lt;0,"FALL"),"")</f>
        <v/>
      </c>
      <c r="X68" s="1" t="str">
        <f aca="false">IF(SUM(D68)&lt;&gt;0,"Turning Point","")</f>
        <v/>
      </c>
      <c r="Y68" s="1" t="str">
        <f aca="false">IF(COUNT(D68:F68)&lt;&gt;0,COUNT(C$13:$C67)+1,"")</f>
        <v/>
      </c>
      <c r="Z68" s="1" t="str">
        <f aca="false">IF(X68="Turning Point",COUNT(Z$13:$Z67)+1,"")</f>
        <v/>
      </c>
      <c r="AA68" s="1" t="str">
        <f aca="false">IF(AD68&lt;&gt;"",AD68,IF(Y68&lt;&gt;"",CONCATENATE(X68," ",Z68),""))</f>
        <v/>
      </c>
      <c r="AD68" s="4" t="str">
        <f aca="false">IF(F68&lt;&gt;"",IF(AC68=$AB$14,IF(Z68&lt;&gt;"","","end"),""),"")</f>
        <v/>
      </c>
    </row>
    <row r="69" customFormat="false" ht="24" hidden="false" customHeight="true" outlineLevel="0" collapsed="false">
      <c r="C69" s="27" t="n">
        <v>56</v>
      </c>
      <c r="D69" s="37"/>
      <c r="E69" s="37"/>
      <c r="F69" s="37"/>
      <c r="G69" s="38"/>
      <c r="H69" s="38" t="str">
        <f aca="false">IF(AND(D69="",E69="",F69=""),"",Q69)</f>
        <v/>
      </c>
      <c r="I69" s="31" t="str">
        <f aca="false">IF(COUNT(C69:F69)&gt;1,C69,IF(J69&lt;&gt;"",COUNT($I$13:I68)+1,""))</f>
        <v/>
      </c>
      <c r="J69" s="39" t="str">
        <f aca="false">IF(COUNT(D69:F69)&gt;0,V69,"")</f>
        <v/>
      </c>
      <c r="K69" s="40" t="str">
        <f aca="false">IF(COUNT(D69:F69,I69)&gt;1,D68+E68-E69-F69,"")</f>
        <v/>
      </c>
      <c r="L69" s="41" t="str">
        <f aca="false">AA69</f>
        <v/>
      </c>
      <c r="P69" s="42" t="n">
        <f aca="false">Q69+E69+D69</f>
        <v>0</v>
      </c>
      <c r="Q69" s="42" t="n">
        <f aca="false">P68-E69-F69</f>
        <v>0</v>
      </c>
      <c r="S69" s="1" t="str">
        <f aca="false">IF(D69="",S68,G69)</f>
        <v/>
      </c>
      <c r="T69" s="1" t="str">
        <f aca="false">IF(D69="",T68,D69)</f>
        <v/>
      </c>
      <c r="U69" s="1" t="str">
        <f aca="false">IF(S69&lt;&gt;"",S69-T69,"")</f>
        <v/>
      </c>
      <c r="V69" s="1" t="e">
        <f aca="false">IF(Q69&lt;&gt;"",Q69-U68,"")</f>
        <v>#VALUE!</v>
      </c>
      <c r="W69" s="1" t="str">
        <f aca="false" t="array" ref="W69:W69">IF(J69&lt;&gt;"",_xlfn.IFS(V69&gt;0,"CUT",V69&lt;0,"FALL"),"")</f>
        <v/>
      </c>
      <c r="X69" s="1" t="str">
        <f aca="false">IF(SUM(D69)&lt;&gt;0,"Turning Point","")</f>
        <v/>
      </c>
      <c r="Y69" s="1" t="str">
        <f aca="false">IF(COUNT(D69:F69)&lt;&gt;0,COUNT(C$13:$C68)+1,"")</f>
        <v/>
      </c>
      <c r="Z69" s="1" t="str">
        <f aca="false">IF(X69="Turning Point",COUNT(Z$13:$Z68)+1,"")</f>
        <v/>
      </c>
      <c r="AA69" s="1" t="str">
        <f aca="false">IF(AD69&lt;&gt;"",AD69,IF(Y69&lt;&gt;"",CONCATENATE(X69," ",Z69),""))</f>
        <v/>
      </c>
      <c r="AD69" s="4" t="str">
        <f aca="false">IF(F69&lt;&gt;"",IF(AC69=$AB$14,IF(Z69&lt;&gt;"","","end"),""),"")</f>
        <v/>
      </c>
    </row>
    <row r="70" customFormat="false" ht="24" hidden="false" customHeight="true" outlineLevel="0" collapsed="false">
      <c r="C70" s="36" t="n">
        <v>57</v>
      </c>
      <c r="D70" s="37"/>
      <c r="E70" s="37"/>
      <c r="F70" s="37"/>
      <c r="G70" s="38"/>
      <c r="H70" s="38" t="str">
        <f aca="false">IF(AND(D70="",E70="",F70=""),"",Q70)</f>
        <v/>
      </c>
      <c r="I70" s="31" t="str">
        <f aca="false">IF(COUNT(C70:F70)&gt;1,C70,IF(J70&lt;&gt;"",COUNT($I$13:I69)+1,""))</f>
        <v/>
      </c>
      <c r="J70" s="39" t="str">
        <f aca="false">IF(COUNT(D70:F70)&gt;0,V70,"")</f>
        <v/>
      </c>
      <c r="K70" s="40" t="str">
        <f aca="false">IF(COUNT(D70:F70,I70)&gt;1,D69+E69-E70-F70,"")</f>
        <v/>
      </c>
      <c r="L70" s="41" t="str">
        <f aca="false">AA70</f>
        <v/>
      </c>
      <c r="P70" s="42" t="n">
        <f aca="false">Q70+E70+D70</f>
        <v>0</v>
      </c>
      <c r="Q70" s="42" t="n">
        <f aca="false">P69-E70-F70</f>
        <v>0</v>
      </c>
      <c r="S70" s="1" t="str">
        <f aca="false">IF(D70="",S69,G70)</f>
        <v/>
      </c>
      <c r="T70" s="1" t="str">
        <f aca="false">IF(D70="",T69,D70)</f>
        <v/>
      </c>
      <c r="U70" s="1" t="str">
        <f aca="false">IF(S70&lt;&gt;"",S70-T70,"")</f>
        <v/>
      </c>
      <c r="V70" s="1" t="e">
        <f aca="false">IF(Q70&lt;&gt;"",Q70-U69,"")</f>
        <v>#VALUE!</v>
      </c>
      <c r="W70" s="1" t="str">
        <f aca="false" t="array" ref="W70:W70">IF(J70&lt;&gt;"",_xlfn.IFS(V70&gt;0,"CUT",V70&lt;0,"FALL"),"")</f>
        <v/>
      </c>
      <c r="X70" s="1" t="str">
        <f aca="false">IF(SUM(D70)&lt;&gt;0,"Turning Point","")</f>
        <v/>
      </c>
      <c r="Y70" s="1" t="str">
        <f aca="false">IF(COUNT(D70:F70)&lt;&gt;0,COUNT(C$13:$C69)+1,"")</f>
        <v/>
      </c>
      <c r="Z70" s="1" t="str">
        <f aca="false">IF(X70="Turning Point",COUNT(Z$13:$Z69)+1,"")</f>
        <v/>
      </c>
      <c r="AA70" s="1" t="str">
        <f aca="false">IF(AD70&lt;&gt;"",AD70,IF(Y70&lt;&gt;"",CONCATENATE(X70," ",Z70),""))</f>
        <v/>
      </c>
      <c r="AD70" s="4" t="str">
        <f aca="false">IF(F70&lt;&gt;"",IF(AC70=$AB$14,IF(Z70&lt;&gt;"","","end"),""),"")</f>
        <v/>
      </c>
    </row>
    <row r="71" customFormat="false" ht="24" hidden="false" customHeight="true" outlineLevel="0" collapsed="false">
      <c r="C71" s="27" t="n">
        <v>58</v>
      </c>
      <c r="D71" s="37"/>
      <c r="E71" s="37"/>
      <c r="F71" s="37"/>
      <c r="G71" s="38"/>
      <c r="H71" s="38" t="str">
        <f aca="false">IF(AND(D71="",E71="",F71=""),"",Q71)</f>
        <v/>
      </c>
      <c r="I71" s="31" t="str">
        <f aca="false">IF(COUNT(C71:F71)&gt;1,C71,IF(J71&lt;&gt;"",COUNT($I$13:I70)+1,""))</f>
        <v/>
      </c>
      <c r="J71" s="39" t="str">
        <f aca="false">IF(COUNT(D71:F71)&gt;0,V71,"")</f>
        <v/>
      </c>
      <c r="K71" s="40" t="str">
        <f aca="false">IF(COUNT(D71:F71,I71)&gt;1,D70+E70-E71-F71,"")</f>
        <v/>
      </c>
      <c r="L71" s="41" t="str">
        <f aca="false">AA71</f>
        <v/>
      </c>
      <c r="P71" s="42" t="n">
        <f aca="false">Q71+E71+D71</f>
        <v>0</v>
      </c>
      <c r="Q71" s="42" t="n">
        <f aca="false">P70-E71-F71</f>
        <v>0</v>
      </c>
      <c r="S71" s="1" t="str">
        <f aca="false">IF(D71="",S70,G71)</f>
        <v/>
      </c>
      <c r="T71" s="1" t="str">
        <f aca="false">IF(D71="",T70,D71)</f>
        <v/>
      </c>
      <c r="U71" s="1" t="str">
        <f aca="false">IF(S71&lt;&gt;"",S71-T71,"")</f>
        <v/>
      </c>
      <c r="V71" s="1" t="e">
        <f aca="false">IF(Q71&lt;&gt;"",Q71-U70,"")</f>
        <v>#VALUE!</v>
      </c>
      <c r="W71" s="1" t="str">
        <f aca="false" t="array" ref="W71:W71">IF(J71&lt;&gt;"",_xlfn.IFS(V71&gt;0,"CUT",V71&lt;0,"FALL"),"")</f>
        <v/>
      </c>
      <c r="X71" s="1" t="str">
        <f aca="false">IF(SUM(D71)&lt;&gt;0,"Turning Point","")</f>
        <v/>
      </c>
      <c r="Y71" s="1" t="str">
        <f aca="false">IF(COUNT(D71:F71)&lt;&gt;0,COUNT(C$13:$C70)+1,"")</f>
        <v/>
      </c>
      <c r="Z71" s="1" t="str">
        <f aca="false">IF(X71="Turning Point",COUNT(Z$13:$Z70)+1,"")</f>
        <v/>
      </c>
      <c r="AA71" s="1" t="str">
        <f aca="false">IF(AD71&lt;&gt;"",AD71,IF(Y71&lt;&gt;"",CONCATENATE(X71," ",Z71),""))</f>
        <v/>
      </c>
      <c r="AD71" s="4" t="str">
        <f aca="false">IF(F71&lt;&gt;"",IF(AC71=$AB$14,IF(Z71&lt;&gt;"","","end"),""),"")</f>
        <v/>
      </c>
    </row>
    <row r="72" customFormat="false" ht="24" hidden="false" customHeight="true" outlineLevel="0" collapsed="false">
      <c r="C72" s="36" t="n">
        <v>59</v>
      </c>
      <c r="D72" s="37"/>
      <c r="E72" s="37"/>
      <c r="F72" s="37"/>
      <c r="G72" s="38"/>
      <c r="H72" s="38" t="str">
        <f aca="false">IF(AND(D72="",E72="",F72=""),"",Q72)</f>
        <v/>
      </c>
      <c r="I72" s="31" t="str">
        <f aca="false">IF(COUNT(C72:F72)&gt;1,C72,IF(J72&lt;&gt;"",COUNT($I$13:I71)+1,""))</f>
        <v/>
      </c>
      <c r="J72" s="39" t="str">
        <f aca="false">IF(COUNT(D72:F72)&gt;0,V72,"")</f>
        <v/>
      </c>
      <c r="K72" s="40" t="str">
        <f aca="false">IF(COUNT(D72:F72,I72)&gt;1,D71+E71-E72-F72,"")</f>
        <v/>
      </c>
      <c r="L72" s="41" t="str">
        <f aca="false">AA72</f>
        <v/>
      </c>
      <c r="P72" s="42" t="n">
        <f aca="false">Q72+E72+D72</f>
        <v>0</v>
      </c>
      <c r="Q72" s="42" t="n">
        <f aca="false">P71-E72-F72</f>
        <v>0</v>
      </c>
      <c r="S72" s="1" t="str">
        <f aca="false">IF(D72="",S71,G72)</f>
        <v/>
      </c>
      <c r="T72" s="1" t="str">
        <f aca="false">IF(D72="",T71,D72)</f>
        <v/>
      </c>
      <c r="U72" s="1" t="str">
        <f aca="false">IF(S72&lt;&gt;"",S72-T72,"")</f>
        <v/>
      </c>
      <c r="V72" s="1" t="e">
        <f aca="false">IF(Q72&lt;&gt;"",Q72-U71,"")</f>
        <v>#VALUE!</v>
      </c>
      <c r="W72" s="1" t="str">
        <f aca="false" t="array" ref="W72:W72">IF(J72&lt;&gt;"",_xlfn.IFS(V72&gt;0,"CUT",V72&lt;0,"FALL"),"")</f>
        <v/>
      </c>
      <c r="X72" s="1" t="str">
        <f aca="false">IF(SUM(D72)&lt;&gt;0,"Turning Point","")</f>
        <v/>
      </c>
      <c r="Y72" s="1" t="str">
        <f aca="false">IF(COUNT(D72:F72)&lt;&gt;0,COUNT(C$13:$C71)+1,"")</f>
        <v/>
      </c>
      <c r="Z72" s="1" t="str">
        <f aca="false">IF(X72="Turning Point",COUNT(Z$13:$Z71)+1,"")</f>
        <v/>
      </c>
      <c r="AA72" s="1" t="str">
        <f aca="false">IF(AD72&lt;&gt;"",AD72,IF(Y72&lt;&gt;"",CONCATENATE(X72," ",Z72),""))</f>
        <v/>
      </c>
      <c r="AD72" s="4" t="str">
        <f aca="false">IF(F72&lt;&gt;"",IF(AC72=$AB$14,IF(Z72&lt;&gt;"","","end"),""),"")</f>
        <v/>
      </c>
    </row>
    <row r="73" customFormat="false" ht="24" hidden="false" customHeight="true" outlineLevel="0" collapsed="false">
      <c r="C73" s="27" t="n">
        <v>60</v>
      </c>
      <c r="D73" s="37"/>
      <c r="E73" s="37"/>
      <c r="F73" s="37"/>
      <c r="G73" s="38"/>
      <c r="H73" s="38" t="str">
        <f aca="false">IF(AND(D73="",E73="",F73=""),"",Q73)</f>
        <v/>
      </c>
      <c r="I73" s="31" t="str">
        <f aca="false">IF(COUNT(C73:F73)&gt;1,C73,IF(J73&lt;&gt;"",COUNT($I$13:I72)+1,""))</f>
        <v/>
      </c>
      <c r="J73" s="39" t="str">
        <f aca="false">IF(COUNT(D73:F73)&gt;0,V73,"")</f>
        <v/>
      </c>
      <c r="K73" s="40" t="str">
        <f aca="false">IF(COUNT(D73:F73,I73)&gt;1,D72+E72-E73-F73,"")</f>
        <v/>
      </c>
      <c r="L73" s="41" t="str">
        <f aca="false">AA73</f>
        <v/>
      </c>
      <c r="P73" s="42" t="n">
        <f aca="false">Q73+E73+D73</f>
        <v>0</v>
      </c>
      <c r="Q73" s="42" t="n">
        <f aca="false">P72-E73-F73</f>
        <v>0</v>
      </c>
      <c r="S73" s="1" t="str">
        <f aca="false">IF(D73="",S72,G73)</f>
        <v/>
      </c>
      <c r="T73" s="1" t="str">
        <f aca="false">IF(D73="",T72,D73)</f>
        <v/>
      </c>
      <c r="U73" s="1" t="str">
        <f aca="false">IF(S73&lt;&gt;"",S73-T73,"")</f>
        <v/>
      </c>
      <c r="V73" s="1" t="e">
        <f aca="false">IF(Q73&lt;&gt;"",Q73-U72,"")</f>
        <v>#VALUE!</v>
      </c>
      <c r="W73" s="1" t="str">
        <f aca="false" t="array" ref="W73:W73">IF(J73&lt;&gt;"",_xlfn.IFS(V73&gt;0,"CUT",V73&lt;0,"FALL"),"")</f>
        <v/>
      </c>
      <c r="X73" s="1" t="str">
        <f aca="false">IF(SUM(D73)&lt;&gt;0,"Turning Point","")</f>
        <v/>
      </c>
      <c r="Y73" s="1" t="str">
        <f aca="false">IF(COUNT(D73:F73)&lt;&gt;0,COUNT(C$13:$C72)+1,"")</f>
        <v/>
      </c>
      <c r="Z73" s="1" t="str">
        <f aca="false">IF(X73="Turning Point",COUNT(Z$13:$Z72)+1,"")</f>
        <v/>
      </c>
      <c r="AA73" s="1" t="str">
        <f aca="false">IF(AD73&lt;&gt;"",AD73,IF(Y73&lt;&gt;"",CONCATENATE(X73," ",Z73),""))</f>
        <v/>
      </c>
      <c r="AD73" s="4" t="str">
        <f aca="false">IF(F73&lt;&gt;"",IF(AC73=$AB$14,IF(Z73&lt;&gt;"","","end"),""),"")</f>
        <v/>
      </c>
    </row>
    <row r="74" customFormat="false" ht="24" hidden="false" customHeight="true" outlineLevel="0" collapsed="false">
      <c r="J74" s="43"/>
      <c r="K74" s="44"/>
    </row>
    <row r="75" customFormat="false" ht="24" hidden="true" customHeight="true" outlineLevel="0" collapsed="false">
      <c r="J75" s="1"/>
    </row>
    <row r="76" customFormat="false" ht="24" hidden="true" customHeight="true" outlineLevel="0" collapsed="false">
      <c r="J76" s="1"/>
    </row>
    <row r="77" customFormat="false" ht="24" hidden="true" customHeight="true" outlineLevel="0" collapsed="false">
      <c r="J77" s="1"/>
    </row>
    <row r="78" customFormat="false" ht="24" hidden="true" customHeight="true" outlineLevel="0" collapsed="false">
      <c r="J78" s="1"/>
    </row>
    <row r="79" customFormat="false" ht="24" hidden="true" customHeight="true" outlineLevel="0" collapsed="false">
      <c r="J79" s="1"/>
    </row>
    <row r="80" customFormat="false" ht="24" hidden="true" customHeight="true" outlineLevel="0" collapsed="false">
      <c r="J80" s="1"/>
    </row>
    <row r="81" customFormat="false" ht="24" hidden="true" customHeight="true" outlineLevel="0" collapsed="false">
      <c r="J81" s="1"/>
    </row>
    <row r="82" customFormat="false" ht="24" hidden="true" customHeight="true" outlineLevel="0" collapsed="false">
      <c r="J82" s="1"/>
    </row>
    <row r="83" customFormat="false" ht="24" hidden="true" customHeight="true" outlineLevel="0" collapsed="false">
      <c r="J83" s="1"/>
    </row>
    <row r="84" customFormat="false" ht="24" hidden="true" customHeight="true" outlineLevel="0" collapsed="false">
      <c r="J84" s="1"/>
    </row>
    <row r="85" customFormat="false" ht="24" hidden="true" customHeight="true" outlineLevel="0" collapsed="false">
      <c r="J85" s="1"/>
    </row>
    <row r="86" customFormat="false" ht="24" hidden="true" customHeight="true" outlineLevel="0" collapsed="false">
      <c r="J86" s="1"/>
    </row>
    <row r="87" customFormat="false" ht="24" hidden="true" customHeight="true" outlineLevel="0" collapsed="false">
      <c r="J87" s="1"/>
    </row>
    <row r="88" customFormat="false" ht="24" hidden="true" customHeight="true" outlineLevel="0" collapsed="false">
      <c r="J88" s="1"/>
    </row>
    <row r="89" customFormat="false" ht="24" hidden="true" customHeight="true" outlineLevel="0" collapsed="false">
      <c r="J89" s="1"/>
    </row>
    <row r="90" customFormat="false" ht="24" hidden="true" customHeight="true" outlineLevel="0" collapsed="false">
      <c r="J90" s="1"/>
    </row>
    <row r="91" customFormat="false" ht="24" hidden="true" customHeight="true" outlineLevel="0" collapsed="false">
      <c r="J91" s="1"/>
    </row>
    <row r="92" customFormat="false" ht="24" hidden="true" customHeight="true" outlineLevel="0" collapsed="false">
      <c r="J92" s="1"/>
    </row>
    <row r="93" customFormat="false" ht="24" hidden="true" customHeight="true" outlineLevel="0" collapsed="false">
      <c r="J93" s="1"/>
    </row>
    <row r="94" customFormat="false" ht="24" hidden="true" customHeight="true" outlineLevel="0" collapsed="false">
      <c r="J94" s="1"/>
    </row>
    <row r="95" customFormat="false" ht="24" hidden="true" customHeight="true" outlineLevel="0" collapsed="false">
      <c r="J95" s="1"/>
    </row>
    <row r="96" customFormat="false" ht="24" hidden="true" customHeight="true" outlineLevel="0" collapsed="false">
      <c r="J96" s="1"/>
    </row>
    <row r="97" customFormat="false" ht="24" hidden="true" customHeight="true" outlineLevel="0" collapsed="false">
      <c r="J97" s="1"/>
    </row>
    <row r="98" customFormat="false" ht="24" hidden="true" customHeight="true" outlineLevel="0" collapsed="false">
      <c r="J98" s="1"/>
    </row>
    <row r="99" customFormat="false" ht="24" hidden="true" customHeight="true" outlineLevel="0" collapsed="false">
      <c r="J99" s="1"/>
    </row>
    <row r="100" customFormat="false" ht="24" hidden="true" customHeight="true" outlineLevel="0" collapsed="false">
      <c r="J100" s="1"/>
    </row>
    <row r="101" customFormat="false" ht="24" hidden="true" customHeight="true" outlineLevel="0" collapsed="false">
      <c r="J101" s="1"/>
    </row>
    <row r="102" customFormat="false" ht="24" hidden="true" customHeight="true" outlineLevel="0" collapsed="false">
      <c r="J102" s="1"/>
    </row>
    <row r="103" customFormat="false" ht="24" hidden="true" customHeight="true" outlineLevel="0" collapsed="false">
      <c r="J103" s="1"/>
    </row>
    <row r="104" customFormat="false" ht="24" hidden="true" customHeight="true" outlineLevel="0" collapsed="false">
      <c r="J104" s="1"/>
    </row>
    <row r="105" customFormat="false" ht="24" hidden="true" customHeight="true" outlineLevel="0" collapsed="false">
      <c r="J105" s="1"/>
    </row>
    <row r="106" customFormat="false" ht="24" hidden="true" customHeight="true" outlineLevel="0" collapsed="false">
      <c r="J106" s="1"/>
    </row>
    <row r="107" customFormat="false" ht="24" hidden="true" customHeight="true" outlineLevel="0" collapsed="false">
      <c r="J107" s="1"/>
    </row>
    <row r="108" customFormat="false" ht="24" hidden="true" customHeight="true" outlineLevel="0" collapsed="false">
      <c r="J108" s="1"/>
    </row>
    <row r="109" customFormat="false" ht="24" hidden="true" customHeight="true" outlineLevel="0" collapsed="false">
      <c r="J109" s="1"/>
    </row>
    <row r="110" customFormat="false" ht="24" hidden="true" customHeight="true" outlineLevel="0" collapsed="false">
      <c r="J110" s="1"/>
    </row>
    <row r="111" customFormat="false" ht="24" hidden="true" customHeight="true" outlineLevel="0" collapsed="false">
      <c r="J111" s="1"/>
    </row>
    <row r="112" customFormat="false" ht="24" hidden="true" customHeight="true" outlineLevel="0" collapsed="false">
      <c r="J112" s="1"/>
    </row>
    <row r="113" customFormat="false" ht="24" hidden="true" customHeight="true" outlineLevel="0" collapsed="false">
      <c r="J113" s="1"/>
    </row>
    <row r="114" customFormat="false" ht="24" hidden="true" customHeight="true" outlineLevel="0" collapsed="false">
      <c r="J114" s="1"/>
    </row>
    <row r="115" customFormat="false" ht="24" hidden="true" customHeight="true" outlineLevel="0" collapsed="false">
      <c r="J115" s="1"/>
    </row>
    <row r="116" customFormat="false" ht="24" hidden="true" customHeight="true" outlineLevel="0" collapsed="false">
      <c r="J116" s="1"/>
    </row>
    <row r="117" customFormat="false" ht="24" hidden="true" customHeight="true" outlineLevel="0" collapsed="false">
      <c r="J117" s="1"/>
    </row>
    <row r="118" customFormat="false" ht="24" hidden="true" customHeight="true" outlineLevel="0" collapsed="false">
      <c r="J118" s="1"/>
    </row>
    <row r="119" customFormat="false" ht="24" hidden="true" customHeight="true" outlineLevel="0" collapsed="false">
      <c r="J119" s="1"/>
    </row>
    <row r="120" customFormat="false" ht="24" hidden="true" customHeight="true" outlineLevel="0" collapsed="false">
      <c r="J120" s="1"/>
    </row>
    <row r="121" customFormat="false" ht="24" hidden="true" customHeight="true" outlineLevel="0" collapsed="false">
      <c r="J121" s="1"/>
    </row>
    <row r="122" customFormat="false" ht="24" hidden="true" customHeight="true" outlineLevel="0" collapsed="false">
      <c r="J122" s="1"/>
    </row>
    <row r="123" customFormat="false" ht="24" hidden="true" customHeight="true" outlineLevel="0" collapsed="false">
      <c r="J123" s="1"/>
    </row>
    <row r="124" customFormat="false" ht="24" hidden="true" customHeight="true" outlineLevel="0" collapsed="false">
      <c r="J124" s="1"/>
    </row>
    <row r="125" customFormat="false" ht="24" hidden="true" customHeight="true" outlineLevel="0" collapsed="false">
      <c r="J125" s="1"/>
    </row>
    <row r="126" customFormat="false" ht="24" hidden="true" customHeight="true" outlineLevel="0" collapsed="false">
      <c r="J126" s="1"/>
    </row>
    <row r="127" customFormat="false" ht="24" hidden="true" customHeight="true" outlineLevel="0" collapsed="false">
      <c r="J127" s="1"/>
    </row>
    <row r="128" customFormat="false" ht="24" hidden="true" customHeight="true" outlineLevel="0" collapsed="false">
      <c r="J128" s="1"/>
    </row>
    <row r="129" customFormat="false" ht="24" hidden="true" customHeight="true" outlineLevel="0" collapsed="false">
      <c r="J129" s="1"/>
    </row>
    <row r="130" customFormat="false" ht="24" hidden="true" customHeight="true" outlineLevel="0" collapsed="false">
      <c r="J130" s="1"/>
    </row>
    <row r="131" customFormat="false" ht="24" hidden="true" customHeight="true" outlineLevel="0" collapsed="false">
      <c r="J131" s="1"/>
    </row>
    <row r="132" customFormat="false" ht="24" hidden="true" customHeight="true" outlineLevel="0" collapsed="false">
      <c r="J132" s="1"/>
    </row>
    <row r="133" customFormat="false" ht="24" hidden="true" customHeight="true" outlineLevel="0" collapsed="false">
      <c r="J133" s="1"/>
    </row>
    <row r="134" customFormat="false" ht="24" hidden="true" customHeight="true" outlineLevel="0" collapsed="false">
      <c r="J134" s="1"/>
    </row>
    <row r="135" customFormat="false" ht="24" hidden="true" customHeight="true" outlineLevel="0" collapsed="false">
      <c r="J135" s="1"/>
    </row>
    <row r="136" customFormat="false" ht="24" hidden="true" customHeight="true" outlineLevel="0" collapsed="false">
      <c r="J136" s="1"/>
    </row>
    <row r="137" customFormat="false" ht="24" hidden="true" customHeight="true" outlineLevel="0" collapsed="false">
      <c r="J137" s="1"/>
    </row>
    <row r="138" customFormat="false" ht="24" hidden="true" customHeight="true" outlineLevel="0" collapsed="false">
      <c r="J138" s="1"/>
    </row>
    <row r="139" customFormat="false" ht="24" hidden="true" customHeight="true" outlineLevel="0" collapsed="false">
      <c r="J139" s="1"/>
    </row>
    <row r="140" customFormat="false" ht="24" hidden="true" customHeight="true" outlineLevel="0" collapsed="false">
      <c r="J140" s="1"/>
    </row>
    <row r="141" customFormat="false" ht="24" hidden="true" customHeight="true" outlineLevel="0" collapsed="false">
      <c r="J141" s="1"/>
    </row>
    <row r="142" customFormat="false" ht="24" hidden="true" customHeight="true" outlineLevel="0" collapsed="false">
      <c r="J142" s="1"/>
    </row>
    <row r="143" customFormat="false" ht="24" hidden="true" customHeight="true" outlineLevel="0" collapsed="false">
      <c r="J143" s="1"/>
    </row>
    <row r="144" customFormat="false" ht="24" hidden="true" customHeight="true" outlineLevel="0" collapsed="false">
      <c r="J144" s="1"/>
    </row>
    <row r="145" customFormat="false" ht="24" hidden="true" customHeight="true" outlineLevel="0" collapsed="false">
      <c r="J145" s="1"/>
    </row>
    <row r="146" customFormat="false" ht="24" hidden="true" customHeight="true" outlineLevel="0" collapsed="false">
      <c r="J146" s="1"/>
    </row>
    <row r="147" customFormat="false" ht="24" hidden="true" customHeight="true" outlineLevel="0" collapsed="false">
      <c r="J147" s="1"/>
    </row>
    <row r="148" customFormat="false" ht="24" hidden="true" customHeight="true" outlineLevel="0" collapsed="false">
      <c r="J148" s="1"/>
    </row>
    <row r="149" customFormat="false" ht="24" hidden="true" customHeight="true" outlineLevel="0" collapsed="false">
      <c r="J149" s="1"/>
    </row>
    <row r="150" customFormat="false" ht="24" hidden="true" customHeight="true" outlineLevel="0" collapsed="false">
      <c r="J150" s="1"/>
    </row>
    <row r="151" customFormat="false" ht="24" hidden="true" customHeight="true" outlineLevel="0" collapsed="false">
      <c r="J151" s="1"/>
    </row>
    <row r="152" customFormat="false" ht="24" hidden="true" customHeight="true" outlineLevel="0" collapsed="false">
      <c r="J152" s="1"/>
    </row>
    <row r="153" customFormat="false" ht="24" hidden="true" customHeight="true" outlineLevel="0" collapsed="false">
      <c r="J153" s="1"/>
    </row>
    <row r="154" customFormat="false" ht="24" hidden="true" customHeight="true" outlineLevel="0" collapsed="false">
      <c r="J154" s="1"/>
    </row>
    <row r="155" customFormat="false" ht="24" hidden="true" customHeight="true" outlineLevel="0" collapsed="false">
      <c r="J155" s="1"/>
    </row>
    <row r="156" customFormat="false" ht="24" hidden="true" customHeight="true" outlineLevel="0" collapsed="false">
      <c r="J156" s="1"/>
    </row>
    <row r="157" customFormat="false" ht="24" hidden="true" customHeight="true" outlineLevel="0" collapsed="false">
      <c r="J157" s="1"/>
    </row>
    <row r="158" customFormat="false" ht="24" hidden="true" customHeight="true" outlineLevel="0" collapsed="false">
      <c r="J158" s="1"/>
    </row>
    <row r="159" customFormat="false" ht="24" hidden="true" customHeight="true" outlineLevel="0" collapsed="false">
      <c r="J159" s="1"/>
    </row>
    <row r="160" customFormat="false" ht="24" hidden="true" customHeight="true" outlineLevel="0" collapsed="false">
      <c r="J160" s="1"/>
    </row>
    <row r="161" customFormat="false" ht="24" hidden="true" customHeight="true" outlineLevel="0" collapsed="false">
      <c r="J161" s="1"/>
    </row>
    <row r="162" customFormat="false" ht="24" hidden="true" customHeight="true" outlineLevel="0" collapsed="false">
      <c r="J162" s="1"/>
    </row>
    <row r="163" customFormat="false" ht="24" hidden="true" customHeight="true" outlineLevel="0" collapsed="false">
      <c r="J163" s="1"/>
    </row>
    <row r="164" customFormat="false" ht="24" hidden="true" customHeight="true" outlineLevel="0" collapsed="false">
      <c r="J164" s="1"/>
    </row>
    <row r="165" customFormat="false" ht="24" hidden="true" customHeight="true" outlineLevel="0" collapsed="false">
      <c r="J165" s="1"/>
    </row>
    <row r="166" customFormat="false" ht="24" hidden="true" customHeight="true" outlineLevel="0" collapsed="false">
      <c r="J166" s="1"/>
    </row>
    <row r="167" customFormat="false" ht="24" hidden="true" customHeight="true" outlineLevel="0" collapsed="false">
      <c r="J167" s="1"/>
    </row>
    <row r="168" customFormat="false" ht="24" hidden="true" customHeight="true" outlineLevel="0" collapsed="false">
      <c r="J168" s="1"/>
    </row>
    <row r="169" customFormat="false" ht="24" hidden="true" customHeight="true" outlineLevel="0" collapsed="false">
      <c r="J169" s="1"/>
    </row>
    <row r="170" customFormat="false" ht="24" hidden="true" customHeight="true" outlineLevel="0" collapsed="false">
      <c r="J170" s="1"/>
    </row>
    <row r="171" customFormat="false" ht="24" hidden="true" customHeight="true" outlineLevel="0" collapsed="false">
      <c r="J171" s="1"/>
    </row>
    <row r="172" customFormat="false" ht="24" hidden="true" customHeight="true" outlineLevel="0" collapsed="false">
      <c r="J172" s="1"/>
    </row>
    <row r="173" customFormat="false" ht="24" hidden="true" customHeight="true" outlineLevel="0" collapsed="false">
      <c r="J173" s="1"/>
    </row>
    <row r="174" customFormat="false" ht="24" hidden="true" customHeight="true" outlineLevel="0" collapsed="false">
      <c r="J174" s="1"/>
    </row>
    <row r="175" customFormat="false" ht="24" hidden="true" customHeight="true" outlineLevel="0" collapsed="false">
      <c r="J175" s="1"/>
    </row>
    <row r="176" customFormat="false" ht="24" hidden="true" customHeight="true" outlineLevel="0" collapsed="false">
      <c r="J176" s="1"/>
    </row>
    <row r="177" customFormat="false" ht="24" hidden="true" customHeight="true" outlineLevel="0" collapsed="false">
      <c r="J177" s="1"/>
    </row>
    <row r="178" customFormat="false" ht="24" hidden="true" customHeight="true" outlineLevel="0" collapsed="false">
      <c r="J178" s="1"/>
    </row>
    <row r="179" customFormat="false" ht="24" hidden="true" customHeight="true" outlineLevel="0" collapsed="false">
      <c r="J179" s="1"/>
    </row>
    <row r="180" customFormat="false" ht="24" hidden="true" customHeight="true" outlineLevel="0" collapsed="false">
      <c r="J180" s="1"/>
    </row>
    <row r="181" customFormat="false" ht="24" hidden="true" customHeight="true" outlineLevel="0" collapsed="false">
      <c r="J181" s="1"/>
    </row>
    <row r="182" customFormat="false" ht="24" hidden="true" customHeight="true" outlineLevel="0" collapsed="false">
      <c r="J182" s="1"/>
    </row>
    <row r="183" customFormat="false" ht="24" hidden="true" customHeight="true" outlineLevel="0" collapsed="false">
      <c r="J183" s="1"/>
    </row>
    <row r="184" customFormat="false" ht="24" hidden="true" customHeight="true" outlineLevel="0" collapsed="false">
      <c r="J184" s="1"/>
    </row>
    <row r="185" customFormat="false" ht="24" hidden="true" customHeight="true" outlineLevel="0" collapsed="false">
      <c r="J185" s="1"/>
    </row>
    <row r="186" customFormat="false" ht="24" hidden="true" customHeight="true" outlineLevel="0" collapsed="false">
      <c r="J186" s="1"/>
    </row>
    <row r="187" customFormat="false" ht="24" hidden="true" customHeight="true" outlineLevel="0" collapsed="false">
      <c r="J187" s="1"/>
    </row>
    <row r="188" customFormat="false" ht="24" hidden="true" customHeight="true" outlineLevel="0" collapsed="false">
      <c r="J188" s="1"/>
    </row>
    <row r="189" customFormat="false" ht="24" hidden="true" customHeight="true" outlineLevel="0" collapsed="false">
      <c r="J189" s="1"/>
    </row>
    <row r="190" customFormat="false" ht="24" hidden="true" customHeight="true" outlineLevel="0" collapsed="false">
      <c r="J190" s="1"/>
    </row>
    <row r="191" customFormat="false" ht="24" hidden="true" customHeight="true" outlineLevel="0" collapsed="false">
      <c r="J191" s="1"/>
    </row>
    <row r="192" customFormat="false" ht="24" hidden="true" customHeight="true" outlineLevel="0" collapsed="false">
      <c r="J192" s="1"/>
    </row>
    <row r="193" customFormat="false" ht="24" hidden="true" customHeight="true" outlineLevel="0" collapsed="false">
      <c r="J193" s="1"/>
    </row>
    <row r="194" customFormat="false" ht="24" hidden="true" customHeight="true" outlineLevel="0" collapsed="false">
      <c r="J194" s="1"/>
    </row>
    <row r="195" customFormat="false" ht="24" hidden="true" customHeight="true" outlineLevel="0" collapsed="false">
      <c r="J195" s="1"/>
    </row>
    <row r="196" customFormat="false" ht="24" hidden="true" customHeight="true" outlineLevel="0" collapsed="false">
      <c r="J196" s="1"/>
    </row>
    <row r="197" customFormat="false" ht="24" hidden="true" customHeight="true" outlineLevel="0" collapsed="false">
      <c r="J197" s="1"/>
    </row>
    <row r="198" customFormat="false" ht="24" hidden="true" customHeight="true" outlineLevel="0" collapsed="false">
      <c r="J198" s="1"/>
    </row>
    <row r="199" customFormat="false" ht="24" hidden="true" customHeight="true" outlineLevel="0" collapsed="false">
      <c r="J199" s="1"/>
    </row>
    <row r="200" customFormat="false" ht="24" hidden="true" customHeight="true" outlineLevel="0" collapsed="false">
      <c r="J200" s="1"/>
    </row>
    <row r="201" customFormat="false" ht="24" hidden="true" customHeight="true" outlineLevel="0" collapsed="false">
      <c r="J201" s="1"/>
    </row>
    <row r="202" customFormat="false" ht="24" hidden="true" customHeight="true" outlineLevel="0" collapsed="false">
      <c r="J202" s="1"/>
    </row>
    <row r="203" customFormat="false" ht="24" hidden="true" customHeight="true" outlineLevel="0" collapsed="false">
      <c r="J203" s="1"/>
    </row>
    <row r="204" customFormat="false" ht="24" hidden="true" customHeight="true" outlineLevel="0" collapsed="false">
      <c r="J204" s="1"/>
    </row>
    <row r="205" customFormat="false" ht="24" hidden="true" customHeight="true" outlineLevel="0" collapsed="false">
      <c r="J205" s="1"/>
    </row>
    <row r="206" customFormat="false" ht="24" hidden="true" customHeight="true" outlineLevel="0" collapsed="false">
      <c r="J206" s="1"/>
    </row>
    <row r="207" customFormat="false" ht="24" hidden="true" customHeight="true" outlineLevel="0" collapsed="false">
      <c r="J207" s="1"/>
    </row>
    <row r="208" customFormat="false" ht="24" hidden="true" customHeight="true" outlineLevel="0" collapsed="false">
      <c r="J208" s="1"/>
    </row>
    <row r="209" customFormat="false" ht="24" hidden="true" customHeight="true" outlineLevel="0" collapsed="false">
      <c r="J209" s="1"/>
    </row>
    <row r="210" customFormat="false" ht="24" hidden="true" customHeight="true" outlineLevel="0" collapsed="false">
      <c r="J210" s="1"/>
    </row>
    <row r="211" customFormat="false" ht="24" hidden="true" customHeight="true" outlineLevel="0" collapsed="false">
      <c r="J211" s="1"/>
    </row>
    <row r="212" customFormat="false" ht="24" hidden="true" customHeight="true" outlineLevel="0" collapsed="false">
      <c r="J212" s="1"/>
    </row>
    <row r="213" customFormat="false" ht="24" hidden="true" customHeight="true" outlineLevel="0" collapsed="false">
      <c r="J213" s="1"/>
    </row>
    <row r="214" customFormat="false" ht="24" hidden="true" customHeight="true" outlineLevel="0" collapsed="false">
      <c r="J214" s="1"/>
    </row>
    <row r="215" customFormat="false" ht="24" hidden="true" customHeight="true" outlineLevel="0" collapsed="false">
      <c r="J215" s="1"/>
    </row>
    <row r="216" customFormat="false" ht="24" hidden="true" customHeight="true" outlineLevel="0" collapsed="false">
      <c r="J216" s="1"/>
    </row>
    <row r="217" customFormat="false" ht="24" hidden="true" customHeight="true" outlineLevel="0" collapsed="false">
      <c r="J217" s="1"/>
    </row>
    <row r="218" customFormat="false" ht="24" hidden="true" customHeight="true" outlineLevel="0" collapsed="false">
      <c r="J218" s="1"/>
    </row>
    <row r="219" customFormat="false" ht="24" hidden="true" customHeight="true" outlineLevel="0" collapsed="false">
      <c r="J219" s="1"/>
    </row>
    <row r="220" customFormat="false" ht="24" hidden="true" customHeight="true" outlineLevel="0" collapsed="false">
      <c r="J220" s="1"/>
    </row>
    <row r="221" customFormat="false" ht="24" hidden="true" customHeight="true" outlineLevel="0" collapsed="false">
      <c r="J221" s="1"/>
    </row>
    <row r="222" customFormat="false" ht="24" hidden="true" customHeight="true" outlineLevel="0" collapsed="false">
      <c r="J222" s="1"/>
    </row>
    <row r="223" customFormat="false" ht="24" hidden="true" customHeight="true" outlineLevel="0" collapsed="false">
      <c r="J223" s="1"/>
    </row>
    <row r="224" customFormat="false" ht="24" hidden="true" customHeight="true" outlineLevel="0" collapsed="false">
      <c r="J224" s="1"/>
    </row>
    <row r="225" customFormat="false" ht="24" hidden="true" customHeight="true" outlineLevel="0" collapsed="false">
      <c r="J225" s="1"/>
    </row>
    <row r="226" customFormat="false" ht="24" hidden="true" customHeight="true" outlineLevel="0" collapsed="false">
      <c r="J226" s="1"/>
    </row>
    <row r="227" customFormat="false" ht="24" hidden="true" customHeight="true" outlineLevel="0" collapsed="false">
      <c r="J227" s="1"/>
    </row>
    <row r="228" customFormat="false" ht="24" hidden="true" customHeight="true" outlineLevel="0" collapsed="false">
      <c r="J228" s="1"/>
    </row>
    <row r="229" customFormat="false" ht="24" hidden="true" customHeight="true" outlineLevel="0" collapsed="false">
      <c r="J229" s="1"/>
    </row>
    <row r="230" customFormat="false" ht="24" hidden="true" customHeight="true" outlineLevel="0" collapsed="false">
      <c r="J230" s="1"/>
    </row>
    <row r="231" customFormat="false" ht="24" hidden="true" customHeight="true" outlineLevel="0" collapsed="false">
      <c r="J231" s="1"/>
    </row>
    <row r="232" customFormat="false" ht="24" hidden="true" customHeight="true" outlineLevel="0" collapsed="false">
      <c r="J232" s="1"/>
    </row>
    <row r="233" customFormat="false" ht="24" hidden="true" customHeight="true" outlineLevel="0" collapsed="false">
      <c r="J233" s="1"/>
    </row>
    <row r="234" customFormat="false" ht="24" hidden="true" customHeight="true" outlineLevel="0" collapsed="false">
      <c r="J234" s="1"/>
    </row>
    <row r="235" customFormat="false" ht="24" hidden="true" customHeight="true" outlineLevel="0" collapsed="false">
      <c r="J235" s="1"/>
    </row>
    <row r="236" customFormat="false" ht="24" hidden="true" customHeight="true" outlineLevel="0" collapsed="false">
      <c r="J236" s="1"/>
    </row>
    <row r="237" customFormat="false" ht="24" hidden="true" customHeight="true" outlineLevel="0" collapsed="false">
      <c r="J237" s="1"/>
    </row>
    <row r="238" customFormat="false" ht="24" hidden="true" customHeight="true" outlineLevel="0" collapsed="false">
      <c r="J238" s="1"/>
    </row>
    <row r="239" customFormat="false" ht="24" hidden="true" customHeight="true" outlineLevel="0" collapsed="false">
      <c r="J239" s="1"/>
    </row>
    <row r="240" customFormat="false" ht="24" hidden="true" customHeight="true" outlineLevel="0" collapsed="false">
      <c r="J240" s="1"/>
    </row>
    <row r="241" customFormat="false" ht="24" hidden="true" customHeight="true" outlineLevel="0" collapsed="false">
      <c r="J241" s="1"/>
    </row>
    <row r="242" customFormat="false" ht="24" hidden="true" customHeight="true" outlineLevel="0" collapsed="false">
      <c r="J242" s="1"/>
    </row>
    <row r="243" customFormat="false" ht="24" hidden="true" customHeight="true" outlineLevel="0" collapsed="false">
      <c r="J243" s="1"/>
    </row>
    <row r="244" customFormat="false" ht="24" hidden="true" customHeight="true" outlineLevel="0" collapsed="false">
      <c r="J244" s="1"/>
    </row>
    <row r="245" customFormat="false" ht="24" hidden="true" customHeight="true" outlineLevel="0" collapsed="false">
      <c r="J245" s="1"/>
    </row>
    <row r="246" customFormat="false" ht="24" hidden="true" customHeight="true" outlineLevel="0" collapsed="false">
      <c r="J246" s="1"/>
    </row>
    <row r="247" customFormat="false" ht="24" hidden="true" customHeight="true" outlineLevel="0" collapsed="false">
      <c r="J247" s="1"/>
    </row>
    <row r="248" customFormat="false" ht="24" hidden="true" customHeight="true" outlineLevel="0" collapsed="false">
      <c r="J248" s="1"/>
    </row>
    <row r="249" customFormat="false" ht="24" hidden="true" customHeight="true" outlineLevel="0" collapsed="false">
      <c r="J249" s="1"/>
    </row>
    <row r="250" customFormat="false" ht="24" hidden="true" customHeight="true" outlineLevel="0" collapsed="false">
      <c r="J250" s="1"/>
    </row>
    <row r="251" customFormat="false" ht="24" hidden="true" customHeight="true" outlineLevel="0" collapsed="false">
      <c r="J251" s="1"/>
    </row>
    <row r="252" customFormat="false" ht="28.5" hidden="true" customHeight="false" outlineLevel="0" collapsed="false">
      <c r="J252" s="1"/>
    </row>
    <row r="253" customFormat="false" ht="28.5" hidden="true" customHeight="false" outlineLevel="0" collapsed="false">
      <c r="J253" s="1"/>
    </row>
    <row r="254" customFormat="false" ht="28.5" hidden="true" customHeight="false" outlineLevel="0" collapsed="false">
      <c r="J254" s="1"/>
    </row>
    <row r="255" customFormat="false" ht="28.5" hidden="true" customHeight="false" outlineLevel="0" collapsed="false">
      <c r="J255" s="1"/>
    </row>
    <row r="256" customFormat="false" ht="28.5" hidden="true" customHeight="false" outlineLevel="0" collapsed="false">
      <c r="J256" s="1"/>
    </row>
    <row r="257" customFormat="false" ht="28.5" hidden="true" customHeight="false" outlineLevel="0" collapsed="false">
      <c r="J257" s="1"/>
    </row>
    <row r="258" customFormat="false" ht="28.5" hidden="true" customHeight="false" outlineLevel="0" collapsed="false">
      <c r="J258" s="1"/>
    </row>
    <row r="259" customFormat="false" ht="28.5" hidden="true" customHeight="false" outlineLevel="0" collapsed="false">
      <c r="J259" s="1"/>
    </row>
    <row r="260" customFormat="false" ht="28.5" hidden="true" customHeight="false" outlineLevel="0" collapsed="false">
      <c r="J260" s="1"/>
    </row>
    <row r="261" customFormat="false" ht="28.5" hidden="true" customHeight="false" outlineLevel="0" collapsed="false">
      <c r="J261" s="1"/>
    </row>
    <row r="262" customFormat="false" ht="28.5" hidden="true" customHeight="false" outlineLevel="0" collapsed="false">
      <c r="J262" s="1"/>
    </row>
    <row r="263" customFormat="false" ht="28.5" hidden="true" customHeight="false" outlineLevel="0" collapsed="false">
      <c r="J263" s="1"/>
    </row>
    <row r="264" customFormat="false" ht="28.5" hidden="true" customHeight="false" outlineLevel="0" collapsed="false">
      <c r="J264" s="1"/>
    </row>
    <row r="265" customFormat="false" ht="28.5" hidden="true" customHeight="false" outlineLevel="0" collapsed="false">
      <c r="J265" s="1"/>
    </row>
    <row r="266" customFormat="false" ht="28.5" hidden="true" customHeight="false" outlineLevel="0" collapsed="false">
      <c r="J266" s="1"/>
    </row>
    <row r="267" customFormat="false" ht="28.5" hidden="true" customHeight="false" outlineLevel="0" collapsed="false">
      <c r="J267" s="1"/>
    </row>
    <row r="268" customFormat="false" ht="28.5" hidden="true" customHeight="false" outlineLevel="0" collapsed="false">
      <c r="J268" s="1"/>
    </row>
    <row r="269" customFormat="false" ht="28.5" hidden="true" customHeight="false" outlineLevel="0" collapsed="false">
      <c r="J269" s="1"/>
    </row>
    <row r="270" customFormat="false" ht="28.5" hidden="true" customHeight="false" outlineLevel="0" collapsed="false">
      <c r="J270" s="1"/>
    </row>
    <row r="271" customFormat="false" ht="28.5" hidden="true" customHeight="false" outlineLevel="0" collapsed="false">
      <c r="J271" s="1"/>
    </row>
    <row r="272" customFormat="false" ht="28.5" hidden="true" customHeight="false" outlineLevel="0" collapsed="false">
      <c r="J272" s="1"/>
    </row>
    <row r="273" customFormat="false" ht="28.5" hidden="true" customHeight="false" outlineLevel="0" collapsed="false">
      <c r="J273" s="1"/>
    </row>
    <row r="274" customFormat="false" ht="28.5" hidden="true" customHeight="false" outlineLevel="0" collapsed="false">
      <c r="J274" s="1"/>
    </row>
    <row r="275" customFormat="false" ht="28.5" hidden="true" customHeight="false" outlineLevel="0" collapsed="false">
      <c r="J275" s="1"/>
    </row>
    <row r="276" customFormat="false" ht="28.5" hidden="true" customHeight="false" outlineLevel="0" collapsed="false">
      <c r="J276" s="1"/>
    </row>
    <row r="277" customFormat="false" ht="28.5" hidden="true" customHeight="false" outlineLevel="0" collapsed="false">
      <c r="J277" s="1"/>
    </row>
    <row r="278" customFormat="false" ht="28.5" hidden="true" customHeight="false" outlineLevel="0" collapsed="false">
      <c r="J278" s="1"/>
    </row>
    <row r="279" customFormat="false" ht="28.5" hidden="true" customHeight="false" outlineLevel="0" collapsed="false">
      <c r="J279" s="1"/>
    </row>
    <row r="280" customFormat="false" ht="28.5" hidden="true" customHeight="false" outlineLevel="0" collapsed="false">
      <c r="J280" s="1"/>
    </row>
    <row r="281" customFormat="false" ht="28.5" hidden="true" customHeight="false" outlineLevel="0" collapsed="false">
      <c r="J281" s="1"/>
    </row>
    <row r="282" customFormat="false" ht="28.5" hidden="true" customHeight="false" outlineLevel="0" collapsed="false">
      <c r="J282" s="1"/>
    </row>
    <row r="283" customFormat="false" ht="28.5" hidden="true" customHeight="false" outlineLevel="0" collapsed="false">
      <c r="J283" s="1"/>
    </row>
    <row r="284" customFormat="false" ht="28.5" hidden="true" customHeight="false" outlineLevel="0" collapsed="false">
      <c r="J284" s="1"/>
    </row>
    <row r="285" customFormat="false" ht="28.5" hidden="true" customHeight="false" outlineLevel="0" collapsed="false">
      <c r="J285" s="1"/>
    </row>
    <row r="286" customFormat="false" ht="28.5" hidden="true" customHeight="false" outlineLevel="0" collapsed="false">
      <c r="J286" s="1"/>
    </row>
    <row r="287" customFormat="false" ht="28.5" hidden="true" customHeight="false" outlineLevel="0" collapsed="false">
      <c r="J287" s="1"/>
    </row>
    <row r="288" customFormat="false" ht="28.5" hidden="true" customHeight="false" outlineLevel="0" collapsed="false">
      <c r="J288" s="1"/>
    </row>
    <row r="289" customFormat="false" ht="28.5" hidden="true" customHeight="false" outlineLevel="0" collapsed="false">
      <c r="J289" s="1"/>
    </row>
    <row r="290" customFormat="false" ht="28.5" hidden="true" customHeight="false" outlineLevel="0" collapsed="false">
      <c r="J290" s="1"/>
    </row>
    <row r="291" customFormat="false" ht="28.5" hidden="true" customHeight="false" outlineLevel="0" collapsed="false">
      <c r="J291" s="1"/>
    </row>
    <row r="292" customFormat="false" ht="28.5" hidden="true" customHeight="false" outlineLevel="0" collapsed="false">
      <c r="J292" s="1"/>
    </row>
    <row r="293" customFormat="false" ht="28.5" hidden="true" customHeight="false" outlineLevel="0" collapsed="false">
      <c r="J293" s="1"/>
    </row>
    <row r="294" customFormat="false" ht="28.5" hidden="true" customHeight="false" outlineLevel="0" collapsed="false">
      <c r="J294" s="1"/>
    </row>
    <row r="295" customFormat="false" ht="28.5" hidden="true" customHeight="false" outlineLevel="0" collapsed="false">
      <c r="J295" s="1"/>
    </row>
    <row r="296" customFormat="false" ht="28.5" hidden="true" customHeight="false" outlineLevel="0" collapsed="false">
      <c r="J296" s="1"/>
    </row>
    <row r="297" customFormat="false" ht="28.5" hidden="true" customHeight="false" outlineLevel="0" collapsed="false">
      <c r="J297" s="1"/>
    </row>
    <row r="298" customFormat="false" ht="28.5" hidden="true" customHeight="false" outlineLevel="0" collapsed="false">
      <c r="J298" s="1"/>
    </row>
    <row r="299" customFormat="false" ht="28.5" hidden="true" customHeight="false" outlineLevel="0" collapsed="false">
      <c r="J299" s="1"/>
    </row>
    <row r="300" customFormat="false" ht="28.5" hidden="true" customHeight="false" outlineLevel="0" collapsed="false">
      <c r="J300" s="1"/>
    </row>
    <row r="301" customFormat="false" ht="28.5" hidden="true" customHeight="false" outlineLevel="0" collapsed="false">
      <c r="J301" s="1"/>
    </row>
    <row r="302" customFormat="false" ht="28.5" hidden="true" customHeight="false" outlineLevel="0" collapsed="false">
      <c r="J302" s="1"/>
    </row>
    <row r="303" customFormat="false" ht="28.5" hidden="true" customHeight="false" outlineLevel="0" collapsed="false">
      <c r="J303" s="1"/>
    </row>
    <row r="304" customFormat="false" ht="28.5" hidden="true" customHeight="false" outlineLevel="0" collapsed="false">
      <c r="J304" s="1"/>
    </row>
    <row r="305" customFormat="false" ht="28.5" hidden="true" customHeight="false" outlineLevel="0" collapsed="false">
      <c r="J305" s="1"/>
    </row>
    <row r="306" customFormat="false" ht="28.5" hidden="true" customHeight="false" outlineLevel="0" collapsed="false">
      <c r="J306" s="1"/>
    </row>
    <row r="307" customFormat="false" ht="28.5" hidden="true" customHeight="false" outlineLevel="0" collapsed="false">
      <c r="J307" s="1"/>
    </row>
    <row r="308" customFormat="false" ht="28.5" hidden="true" customHeight="false" outlineLevel="0" collapsed="false">
      <c r="J308" s="1"/>
    </row>
    <row r="309" customFormat="false" ht="28.5" hidden="true" customHeight="false" outlineLevel="0" collapsed="false">
      <c r="J309" s="1"/>
    </row>
    <row r="310" customFormat="false" ht="28.5" hidden="true" customHeight="false" outlineLevel="0" collapsed="false">
      <c r="J310" s="1"/>
    </row>
    <row r="311" customFormat="false" ht="28.5" hidden="true" customHeight="false" outlineLevel="0" collapsed="false">
      <c r="J311" s="1"/>
    </row>
    <row r="312" customFormat="false" ht="28.5" hidden="true" customHeight="false" outlineLevel="0" collapsed="false">
      <c r="J312" s="1"/>
    </row>
    <row r="313" customFormat="false" ht="28.5" hidden="true" customHeight="false" outlineLevel="0" collapsed="false">
      <c r="J313" s="1"/>
    </row>
    <row r="314" customFormat="false" ht="28.5" hidden="true" customHeight="false" outlineLevel="0" collapsed="false">
      <c r="J314" s="1"/>
    </row>
    <row r="315" customFormat="false" ht="28.5" hidden="true" customHeight="false" outlineLevel="0" collapsed="false">
      <c r="J315" s="1"/>
    </row>
    <row r="316" customFormat="false" ht="28.5" hidden="true" customHeight="false" outlineLevel="0" collapsed="false">
      <c r="J316" s="1"/>
    </row>
    <row r="317" customFormat="false" ht="28.5" hidden="true" customHeight="false" outlineLevel="0" collapsed="false">
      <c r="J317" s="1"/>
    </row>
    <row r="318" customFormat="false" ht="28.5" hidden="true" customHeight="false" outlineLevel="0" collapsed="false">
      <c r="J318" s="1"/>
    </row>
    <row r="319" customFormat="false" ht="28.5" hidden="true" customHeight="false" outlineLevel="0" collapsed="false">
      <c r="J319" s="1"/>
    </row>
    <row r="320" customFormat="false" ht="28.5" hidden="true" customHeight="false" outlineLevel="0" collapsed="false">
      <c r="J320" s="1"/>
    </row>
    <row r="321" customFormat="false" ht="28.5" hidden="true" customHeight="false" outlineLevel="0" collapsed="false">
      <c r="J321" s="1"/>
    </row>
    <row r="322" customFormat="false" ht="28.5" hidden="true" customHeight="false" outlineLevel="0" collapsed="false">
      <c r="J322" s="1"/>
    </row>
    <row r="323" customFormat="false" ht="28.5" hidden="true" customHeight="false" outlineLevel="0" collapsed="false">
      <c r="J323" s="1"/>
    </row>
    <row r="324" customFormat="false" ht="28.5" hidden="true" customHeight="false" outlineLevel="0" collapsed="false">
      <c r="J324" s="1"/>
    </row>
    <row r="325" customFormat="false" ht="28.5" hidden="true" customHeight="false" outlineLevel="0" collapsed="false">
      <c r="J325" s="1"/>
    </row>
    <row r="326" customFormat="false" ht="28.5" hidden="true" customHeight="false" outlineLevel="0" collapsed="false">
      <c r="J326" s="1"/>
    </row>
    <row r="327" customFormat="false" ht="28.5" hidden="true" customHeight="false" outlineLevel="0" collapsed="false">
      <c r="J327" s="1"/>
    </row>
    <row r="328" customFormat="false" ht="28.5" hidden="true" customHeight="false" outlineLevel="0" collapsed="false">
      <c r="J328" s="1"/>
    </row>
    <row r="329" customFormat="false" ht="28.5" hidden="true" customHeight="false" outlineLevel="0" collapsed="false">
      <c r="J329" s="1"/>
    </row>
    <row r="330" customFormat="false" ht="28.5" hidden="true" customHeight="false" outlineLevel="0" collapsed="false">
      <c r="J330" s="1"/>
    </row>
    <row r="331" customFormat="false" ht="28.5" hidden="true" customHeight="false" outlineLevel="0" collapsed="false">
      <c r="J331" s="1"/>
    </row>
    <row r="332" customFormat="false" ht="28.5" hidden="true" customHeight="false" outlineLevel="0" collapsed="false">
      <c r="J332" s="1"/>
    </row>
    <row r="333" customFormat="false" ht="28.5" hidden="true" customHeight="false" outlineLevel="0" collapsed="false">
      <c r="J333" s="1"/>
    </row>
    <row r="334" customFormat="false" ht="28.5" hidden="true" customHeight="false" outlineLevel="0" collapsed="false">
      <c r="J334" s="1"/>
    </row>
    <row r="335" customFormat="false" ht="28.5" hidden="true" customHeight="false" outlineLevel="0" collapsed="false">
      <c r="J335" s="1"/>
    </row>
    <row r="336" customFormat="false" ht="28.5" hidden="true" customHeight="false" outlineLevel="0" collapsed="false">
      <c r="J336" s="1"/>
    </row>
    <row r="337" customFormat="false" ht="28.5" hidden="true" customHeight="false" outlineLevel="0" collapsed="false">
      <c r="J337" s="1"/>
    </row>
    <row r="338" customFormat="false" ht="28.5" hidden="true" customHeight="false" outlineLevel="0" collapsed="false">
      <c r="J338" s="1"/>
    </row>
    <row r="339" customFormat="false" ht="28.5" hidden="true" customHeight="false" outlineLevel="0" collapsed="false">
      <c r="J339" s="1"/>
    </row>
    <row r="340" customFormat="false" ht="28.5" hidden="true" customHeight="false" outlineLevel="0" collapsed="false">
      <c r="J340" s="1"/>
    </row>
    <row r="341" customFormat="false" ht="28.5" hidden="true" customHeight="false" outlineLevel="0" collapsed="false">
      <c r="J341" s="1"/>
    </row>
    <row r="342" customFormat="false" ht="28.5" hidden="true" customHeight="false" outlineLevel="0" collapsed="false">
      <c r="J342" s="1"/>
    </row>
    <row r="343" customFormat="false" ht="28.5" hidden="true" customHeight="false" outlineLevel="0" collapsed="false">
      <c r="J343" s="1"/>
    </row>
    <row r="344" customFormat="false" ht="28.5" hidden="true" customHeight="false" outlineLevel="0" collapsed="false">
      <c r="J344" s="1"/>
    </row>
    <row r="345" customFormat="false" ht="28.5" hidden="true" customHeight="false" outlineLevel="0" collapsed="false">
      <c r="J345" s="1"/>
    </row>
    <row r="346" customFormat="false" ht="28.5" hidden="true" customHeight="false" outlineLevel="0" collapsed="false">
      <c r="J346" s="1"/>
    </row>
    <row r="347" customFormat="false" ht="28.5" hidden="true" customHeight="false" outlineLevel="0" collapsed="false">
      <c r="J347" s="1"/>
    </row>
    <row r="348" customFormat="false" ht="28.5" hidden="true" customHeight="false" outlineLevel="0" collapsed="false">
      <c r="J348" s="1"/>
    </row>
    <row r="349" customFormat="false" ht="28.5" hidden="true" customHeight="false" outlineLevel="0" collapsed="false">
      <c r="J349" s="1"/>
    </row>
    <row r="350" customFormat="false" ht="28.5" hidden="true" customHeight="false" outlineLevel="0" collapsed="false">
      <c r="J350" s="1"/>
    </row>
    <row r="351" customFormat="false" ht="28.5" hidden="true" customHeight="false" outlineLevel="0" collapsed="false">
      <c r="J351" s="1"/>
    </row>
    <row r="352" customFormat="false" ht="28.5" hidden="true" customHeight="false" outlineLevel="0" collapsed="false">
      <c r="J352" s="1"/>
    </row>
    <row r="353" customFormat="false" ht="28.5" hidden="true" customHeight="false" outlineLevel="0" collapsed="false">
      <c r="J353" s="1"/>
    </row>
    <row r="354" customFormat="false" ht="28.5" hidden="true" customHeight="false" outlineLevel="0" collapsed="false">
      <c r="J354" s="1"/>
    </row>
    <row r="355" customFormat="false" ht="28.5" hidden="true" customHeight="false" outlineLevel="0" collapsed="false">
      <c r="J355" s="1"/>
    </row>
    <row r="356" customFormat="false" ht="28.5" hidden="true" customHeight="false" outlineLevel="0" collapsed="false">
      <c r="J356" s="1"/>
    </row>
    <row r="357" customFormat="false" ht="28.5" hidden="true" customHeight="false" outlineLevel="0" collapsed="false">
      <c r="J357" s="1"/>
    </row>
    <row r="358" customFormat="false" ht="28.5" hidden="true" customHeight="false" outlineLevel="0" collapsed="false">
      <c r="J358" s="1"/>
    </row>
    <row r="359" customFormat="false" ht="28.5" hidden="true" customHeight="false" outlineLevel="0" collapsed="false">
      <c r="J359" s="1"/>
    </row>
    <row r="360" customFormat="false" ht="28.5" hidden="true" customHeight="false" outlineLevel="0" collapsed="false">
      <c r="J360" s="1"/>
    </row>
    <row r="361" customFormat="false" ht="28.5" hidden="true" customHeight="false" outlineLevel="0" collapsed="false">
      <c r="J361" s="1"/>
    </row>
    <row r="362" customFormat="false" ht="28.5" hidden="true" customHeight="false" outlineLevel="0" collapsed="false">
      <c r="J362" s="1"/>
    </row>
    <row r="363" customFormat="false" ht="28.5" hidden="true" customHeight="false" outlineLevel="0" collapsed="false">
      <c r="J363" s="1"/>
    </row>
    <row r="364" customFormat="false" ht="28.5" hidden="true" customHeight="false" outlineLevel="0" collapsed="false">
      <c r="J364" s="1"/>
    </row>
    <row r="365" customFormat="false" ht="28.5" hidden="true" customHeight="false" outlineLevel="0" collapsed="false">
      <c r="J365" s="1"/>
    </row>
    <row r="366" customFormat="false" ht="28.5" hidden="true" customHeight="false" outlineLevel="0" collapsed="false">
      <c r="J366" s="1"/>
    </row>
    <row r="367" customFormat="false" ht="28.5" hidden="true" customHeight="false" outlineLevel="0" collapsed="false">
      <c r="J367" s="1"/>
    </row>
    <row r="368" customFormat="false" ht="28.5" hidden="true" customHeight="false" outlineLevel="0" collapsed="false">
      <c r="J368" s="1"/>
    </row>
    <row r="369" customFormat="false" ht="28.5" hidden="true" customHeight="false" outlineLevel="0" collapsed="false">
      <c r="J369" s="1"/>
    </row>
    <row r="370" customFormat="false" ht="28.5" hidden="true" customHeight="false" outlineLevel="0" collapsed="false">
      <c r="J370" s="1"/>
    </row>
    <row r="371" customFormat="false" ht="28.5" hidden="true" customHeight="false" outlineLevel="0" collapsed="false">
      <c r="J371" s="1"/>
    </row>
    <row r="372" customFormat="false" ht="28.5" hidden="true" customHeight="false" outlineLevel="0" collapsed="false">
      <c r="J372" s="1"/>
    </row>
    <row r="373" customFormat="false" ht="28.5" hidden="true" customHeight="false" outlineLevel="0" collapsed="false">
      <c r="J373" s="1"/>
    </row>
    <row r="374" customFormat="false" ht="28.5" hidden="true" customHeight="false" outlineLevel="0" collapsed="false">
      <c r="J374" s="1"/>
    </row>
    <row r="375" customFormat="false" ht="28.5" hidden="true" customHeight="false" outlineLevel="0" collapsed="false">
      <c r="J375" s="1"/>
    </row>
    <row r="376" customFormat="false" ht="28.5" hidden="true" customHeight="false" outlineLevel="0" collapsed="false">
      <c r="J376" s="1"/>
    </row>
    <row r="377" customFormat="false" ht="28.5" hidden="true" customHeight="false" outlineLevel="0" collapsed="false">
      <c r="J377" s="1"/>
    </row>
    <row r="378" customFormat="false" ht="28.5" hidden="true" customHeight="false" outlineLevel="0" collapsed="false">
      <c r="J378" s="1"/>
    </row>
    <row r="379" customFormat="false" ht="28.5" hidden="true" customHeight="false" outlineLevel="0" collapsed="false">
      <c r="J379" s="1"/>
    </row>
    <row r="380" customFormat="false" ht="28.5" hidden="true" customHeight="false" outlineLevel="0" collapsed="false">
      <c r="J380" s="1"/>
    </row>
    <row r="381" customFormat="false" ht="28.5" hidden="true" customHeight="false" outlineLevel="0" collapsed="false">
      <c r="J381" s="1"/>
    </row>
    <row r="382" customFormat="false" ht="28.5" hidden="true" customHeight="false" outlineLevel="0" collapsed="false">
      <c r="J382" s="1"/>
    </row>
    <row r="383" customFormat="false" ht="28.5" hidden="true" customHeight="false" outlineLevel="0" collapsed="false">
      <c r="J383" s="1"/>
    </row>
    <row r="384" customFormat="false" ht="28.5" hidden="true" customHeight="false" outlineLevel="0" collapsed="false">
      <c r="J384" s="1"/>
    </row>
    <row r="385" customFormat="false" ht="28.5" hidden="true" customHeight="false" outlineLevel="0" collapsed="false">
      <c r="J385" s="1"/>
    </row>
    <row r="386" customFormat="false" ht="28.5" hidden="true" customHeight="false" outlineLevel="0" collapsed="false">
      <c r="J386" s="1"/>
    </row>
    <row r="387" customFormat="false" ht="28.5" hidden="true" customHeight="false" outlineLevel="0" collapsed="false">
      <c r="J387" s="1"/>
    </row>
    <row r="388" customFormat="false" ht="28.5" hidden="true" customHeight="false" outlineLevel="0" collapsed="false">
      <c r="J388" s="1"/>
    </row>
    <row r="389" customFormat="false" ht="28.5" hidden="true" customHeight="false" outlineLevel="0" collapsed="false">
      <c r="J389" s="1"/>
    </row>
    <row r="390" customFormat="false" ht="28.5" hidden="true" customHeight="false" outlineLevel="0" collapsed="false">
      <c r="J390" s="1"/>
    </row>
    <row r="391" customFormat="false" ht="28.5" hidden="true" customHeight="false" outlineLevel="0" collapsed="false">
      <c r="J391" s="1"/>
    </row>
    <row r="392" customFormat="false" ht="28.5" hidden="true" customHeight="false" outlineLevel="0" collapsed="false">
      <c r="J392" s="1"/>
    </row>
    <row r="393" customFormat="false" ht="28.5" hidden="true" customHeight="false" outlineLevel="0" collapsed="false">
      <c r="J393" s="1"/>
    </row>
    <row r="394" customFormat="false" ht="28.5" hidden="true" customHeight="false" outlineLevel="0" collapsed="false">
      <c r="J394" s="1"/>
    </row>
    <row r="395" customFormat="false" ht="28.5" hidden="true" customHeight="false" outlineLevel="0" collapsed="false">
      <c r="J395" s="1"/>
    </row>
    <row r="396" customFormat="false" ht="28.5" hidden="true" customHeight="false" outlineLevel="0" collapsed="false">
      <c r="J396" s="1"/>
    </row>
    <row r="397" customFormat="false" ht="28.5" hidden="true" customHeight="false" outlineLevel="0" collapsed="false">
      <c r="J397" s="1"/>
    </row>
    <row r="398" customFormat="false" ht="28.5" hidden="true" customHeight="false" outlineLevel="0" collapsed="false">
      <c r="J398" s="1"/>
    </row>
    <row r="399" customFormat="false" ht="28.5" hidden="true" customHeight="false" outlineLevel="0" collapsed="false">
      <c r="J399" s="1"/>
    </row>
    <row r="400" customFormat="false" ht="28.5" hidden="true" customHeight="false" outlineLevel="0" collapsed="false">
      <c r="J400" s="1"/>
    </row>
    <row r="401" customFormat="false" ht="28.5" hidden="true" customHeight="false" outlineLevel="0" collapsed="false">
      <c r="J401" s="1"/>
    </row>
    <row r="402" customFormat="false" ht="28.5" hidden="true" customHeight="false" outlineLevel="0" collapsed="false">
      <c r="J402" s="1"/>
    </row>
    <row r="403" customFormat="false" ht="28.5" hidden="true" customHeight="false" outlineLevel="0" collapsed="false">
      <c r="J403" s="1"/>
    </row>
    <row r="404" customFormat="false" ht="28.5" hidden="true" customHeight="false" outlineLevel="0" collapsed="false">
      <c r="J404" s="1"/>
    </row>
    <row r="405" customFormat="false" ht="28.5" hidden="true" customHeight="false" outlineLevel="0" collapsed="false">
      <c r="J405" s="1"/>
    </row>
    <row r="406" customFormat="false" ht="28.5" hidden="true" customHeight="false" outlineLevel="0" collapsed="false">
      <c r="J406" s="1"/>
    </row>
    <row r="407" customFormat="false" ht="28.5" hidden="true" customHeight="false" outlineLevel="0" collapsed="false">
      <c r="J407" s="1"/>
    </row>
    <row r="408" customFormat="false" ht="28.5" hidden="true" customHeight="false" outlineLevel="0" collapsed="false">
      <c r="J408" s="1"/>
    </row>
    <row r="409" customFormat="false" ht="28.5" hidden="true" customHeight="false" outlineLevel="0" collapsed="false">
      <c r="J409" s="1"/>
    </row>
    <row r="410" customFormat="false" ht="28.5" hidden="true" customHeight="false" outlineLevel="0" collapsed="false">
      <c r="J410" s="1"/>
    </row>
    <row r="411" customFormat="false" ht="28.5" hidden="true" customHeight="false" outlineLevel="0" collapsed="false">
      <c r="J411" s="1"/>
    </row>
    <row r="412" customFormat="false" ht="28.5" hidden="true" customHeight="false" outlineLevel="0" collapsed="false">
      <c r="J412" s="1"/>
    </row>
    <row r="413" customFormat="false" ht="28.5" hidden="true" customHeight="false" outlineLevel="0" collapsed="false">
      <c r="J413" s="1"/>
    </row>
    <row r="414" customFormat="false" ht="28.5" hidden="true" customHeight="false" outlineLevel="0" collapsed="false">
      <c r="J414" s="1"/>
    </row>
    <row r="415" customFormat="false" ht="28.5" hidden="true" customHeight="false" outlineLevel="0" collapsed="false">
      <c r="J415" s="1"/>
    </row>
    <row r="416" customFormat="false" ht="28.5" hidden="true" customHeight="false" outlineLevel="0" collapsed="false">
      <c r="J416" s="1"/>
    </row>
    <row r="417" customFormat="false" ht="28.5" hidden="true" customHeight="false" outlineLevel="0" collapsed="false">
      <c r="J417" s="1"/>
    </row>
    <row r="418" customFormat="false" ht="28.5" hidden="true" customHeight="false" outlineLevel="0" collapsed="false">
      <c r="J418" s="1"/>
    </row>
    <row r="419" customFormat="false" ht="28.5" hidden="true" customHeight="false" outlineLevel="0" collapsed="false">
      <c r="J419" s="1"/>
    </row>
    <row r="420" customFormat="false" ht="28.5" hidden="true" customHeight="false" outlineLevel="0" collapsed="false">
      <c r="J420" s="1"/>
    </row>
    <row r="421" customFormat="false" ht="28.5" hidden="true" customHeight="false" outlineLevel="0" collapsed="false">
      <c r="J421" s="1"/>
    </row>
    <row r="422" customFormat="false" ht="28.5" hidden="true" customHeight="false" outlineLevel="0" collapsed="false">
      <c r="J422" s="1"/>
    </row>
    <row r="423" customFormat="false" ht="28.5" hidden="true" customHeight="false" outlineLevel="0" collapsed="false">
      <c r="J423" s="1"/>
    </row>
    <row r="424" customFormat="false" ht="28.5" hidden="true" customHeight="false" outlineLevel="0" collapsed="false">
      <c r="J424" s="1"/>
    </row>
    <row r="425" customFormat="false" ht="28.5" hidden="true" customHeight="false" outlineLevel="0" collapsed="false">
      <c r="J425" s="1"/>
    </row>
    <row r="426" customFormat="false" ht="28.5" hidden="true" customHeight="false" outlineLevel="0" collapsed="false">
      <c r="J426" s="1"/>
    </row>
    <row r="427" customFormat="false" ht="28.5" hidden="true" customHeight="false" outlineLevel="0" collapsed="false">
      <c r="J427" s="1"/>
    </row>
    <row r="428" customFormat="false" ht="28.5" hidden="true" customHeight="false" outlineLevel="0" collapsed="false">
      <c r="J428" s="1"/>
    </row>
    <row r="429" customFormat="false" ht="28.5" hidden="true" customHeight="false" outlineLevel="0" collapsed="false">
      <c r="J429" s="1"/>
    </row>
    <row r="430" customFormat="false" ht="28.5" hidden="true" customHeight="false" outlineLevel="0" collapsed="false">
      <c r="J430" s="1"/>
    </row>
    <row r="431" customFormat="false" ht="28.5" hidden="true" customHeight="false" outlineLevel="0" collapsed="false">
      <c r="J431" s="1"/>
    </row>
    <row r="432" customFormat="false" ht="28.5" hidden="true" customHeight="false" outlineLevel="0" collapsed="false">
      <c r="J432" s="1"/>
    </row>
    <row r="433" customFormat="false" ht="28.5" hidden="true" customHeight="false" outlineLevel="0" collapsed="false">
      <c r="J433" s="1"/>
    </row>
    <row r="434" customFormat="false" ht="28.5" hidden="true" customHeight="false" outlineLevel="0" collapsed="false">
      <c r="J434" s="1"/>
    </row>
    <row r="435" customFormat="false" ht="28.5" hidden="true" customHeight="false" outlineLevel="0" collapsed="false">
      <c r="J435" s="1"/>
    </row>
    <row r="436" customFormat="false" ht="28.5" hidden="true" customHeight="false" outlineLevel="0" collapsed="false">
      <c r="J436" s="1"/>
    </row>
    <row r="437" customFormat="false" ht="28.5" hidden="true" customHeight="false" outlineLevel="0" collapsed="false">
      <c r="J437" s="1"/>
    </row>
    <row r="438" customFormat="false" ht="28.5" hidden="true" customHeight="false" outlineLevel="0" collapsed="false">
      <c r="J438" s="1"/>
    </row>
    <row r="439" customFormat="false" ht="28.5" hidden="true" customHeight="false" outlineLevel="0" collapsed="false">
      <c r="J439" s="1"/>
    </row>
    <row r="440" customFormat="false" ht="28.5" hidden="true" customHeight="false" outlineLevel="0" collapsed="false">
      <c r="J440" s="1"/>
    </row>
    <row r="441" customFormat="false" ht="28.5" hidden="true" customHeight="false" outlineLevel="0" collapsed="false">
      <c r="J441" s="1"/>
    </row>
    <row r="442" customFormat="false" ht="28.5" hidden="true" customHeight="false" outlineLevel="0" collapsed="false">
      <c r="J442" s="1"/>
    </row>
    <row r="443" customFormat="false" ht="28.5" hidden="true" customHeight="false" outlineLevel="0" collapsed="false">
      <c r="J443" s="1"/>
    </row>
    <row r="444" customFormat="false" ht="28.5" hidden="true" customHeight="false" outlineLevel="0" collapsed="false">
      <c r="J444" s="1"/>
    </row>
    <row r="445" customFormat="false" ht="28.5" hidden="true" customHeight="false" outlineLevel="0" collapsed="false">
      <c r="J445" s="1"/>
    </row>
    <row r="446" customFormat="false" ht="28.5" hidden="true" customHeight="false" outlineLevel="0" collapsed="false">
      <c r="J446" s="1"/>
    </row>
    <row r="447" customFormat="false" ht="28.5" hidden="true" customHeight="false" outlineLevel="0" collapsed="false">
      <c r="J447" s="1"/>
    </row>
    <row r="448" customFormat="false" ht="28.5" hidden="true" customHeight="false" outlineLevel="0" collapsed="false">
      <c r="J448" s="1"/>
    </row>
    <row r="449" customFormat="false" ht="28.5" hidden="true" customHeight="false" outlineLevel="0" collapsed="false">
      <c r="J449" s="1"/>
    </row>
    <row r="450" customFormat="false" ht="28.5" hidden="true" customHeight="false" outlineLevel="0" collapsed="false">
      <c r="J450" s="1"/>
    </row>
    <row r="451" customFormat="false" ht="28.5" hidden="true" customHeight="false" outlineLevel="0" collapsed="false">
      <c r="J451" s="1"/>
    </row>
    <row r="452" customFormat="false" ht="28.5" hidden="true" customHeight="false" outlineLevel="0" collapsed="false">
      <c r="J452" s="1"/>
    </row>
  </sheetData>
  <mergeCells count="15">
    <mergeCell ref="D2:F2"/>
    <mergeCell ref="D3:F3"/>
    <mergeCell ref="D4:F4"/>
    <mergeCell ref="AF4:AG4"/>
    <mergeCell ref="AH4:AI4"/>
    <mergeCell ref="AF5:AG5"/>
    <mergeCell ref="AH5:AI5"/>
    <mergeCell ref="AF6:AG6"/>
    <mergeCell ref="AH6:AI6"/>
    <mergeCell ref="D9:G9"/>
    <mergeCell ref="P9:R9"/>
    <mergeCell ref="D10:G10"/>
    <mergeCell ref="P10:R10"/>
    <mergeCell ref="R12:U12"/>
    <mergeCell ref="X12:Y12"/>
  </mergeCells>
  <conditionalFormatting sqref="J15:J73">
    <cfRule type="expression" priority="2" aboveAverage="0" equalAverage="0" bottom="0" percent="0" rank="0" text="" dxfId="0">
      <formula>$W15="FALL"</formula>
    </cfRule>
    <cfRule type="expression" priority="3" aboveAverage="0" equalAverage="0" bottom="0" percent="0" rank="0" text="" dxfId="1">
      <formula>$W15="CUT"</formula>
    </cfRule>
    <cfRule type="iconSet" priority="4">
      <iconSet iconSet="3Arrows">
        <cfvo type="percent" val="0"/>
        <cfvo type="num" val="0"/>
        <cfvo type="num" val="0" gte="0"/>
      </iconSet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43106C4E-707B-4FD9-858D-12932FE1A930}">
            <x14:iconSet iconSet="3Triangles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K15:K73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2026-04-05T00:03:30Z</dcterms:created>
  <dc:creator/>
  <dc:description/>
  <dc:language>en-AE</dc:language>
  <cp:lastModifiedBy/>
  <dcterms:modified xsi:type="dcterms:W3CDTF">2026-04-05T00:04:18Z</dcterms:modified>
  <cp:revision>1</cp:revision>
  <dc:subject/>
  <dc:title/>
</cp:coreProperties>
</file>