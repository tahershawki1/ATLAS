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105e0dcdee2d76d/PDF Files/Atlas/"/>
    </mc:Choice>
  </mc:AlternateContent>
  <xr:revisionPtr revIDLastSave="39" documentId="101_{D0D22BEB-435C-47F7-8673-BF7912DB5362}" xr6:coauthVersionLast="47" xr6:coauthVersionMax="47" xr10:uidLastSave="{E24C5B3C-5EE5-45E7-B5AB-2908623B298E}"/>
  <bookViews>
    <workbookView xWindow="-120" yWindow="-120" windowWidth="29040" windowHeight="15720" xr2:uid="{AFC6A0E9-7638-4511-A869-E80F98E831ED}"/>
  </bookViews>
  <sheets>
    <sheet name="Levelling Calcul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" l="1"/>
  <c r="G14" i="1"/>
  <c r="P14" i="1" s="1"/>
  <c r="O14" i="1" s="1"/>
  <c r="P15" i="1" s="1"/>
  <c r="O15" i="1" s="1"/>
  <c r="P16" i="1" s="1"/>
  <c r="G16" i="1" s="1"/>
  <c r="W14" i="1"/>
  <c r="Y14" i="1" s="1"/>
  <c r="R10" i="1"/>
  <c r="G10" i="1" s="1"/>
  <c r="X18" i="1"/>
  <c r="X19" i="1"/>
  <c r="X20" i="1"/>
  <c r="W23" i="1"/>
  <c r="W24" i="1"/>
  <c r="W25" i="1"/>
  <c r="X33" i="1"/>
  <c r="X36" i="1"/>
  <c r="W37" i="1"/>
  <c r="W41" i="1"/>
  <c r="W43" i="1"/>
  <c r="W44" i="1"/>
  <c r="W48" i="1"/>
  <c r="X49" i="1"/>
  <c r="X60" i="1"/>
  <c r="W61" i="1"/>
  <c r="W62" i="1"/>
  <c r="X67" i="1"/>
  <c r="X72" i="1"/>
  <c r="X73" i="1"/>
  <c r="W15" i="1"/>
  <c r="Y15" i="1" s="1"/>
  <c r="W16" i="1"/>
  <c r="W17" i="1"/>
  <c r="W19" i="1"/>
  <c r="W26" i="1"/>
  <c r="W27" i="1"/>
  <c r="W28" i="1"/>
  <c r="W29" i="1"/>
  <c r="W31" i="1"/>
  <c r="W38" i="1"/>
  <c r="W39" i="1"/>
  <c r="W40" i="1"/>
  <c r="AB15" i="1"/>
  <c r="AC15" i="1" s="1"/>
  <c r="W50" i="1"/>
  <c r="W51" i="1"/>
  <c r="W52" i="1"/>
  <c r="W53" i="1"/>
  <c r="W54" i="1"/>
  <c r="W55" i="1"/>
  <c r="W60" i="1"/>
  <c r="W63" i="1"/>
  <c r="W64" i="1"/>
  <c r="W65" i="1"/>
  <c r="W66" i="1"/>
  <c r="W67" i="1"/>
  <c r="X15" i="1"/>
  <c r="X16" i="1"/>
  <c r="X17" i="1"/>
  <c r="X26" i="1"/>
  <c r="X27" i="1"/>
  <c r="X28" i="1"/>
  <c r="X29" i="1"/>
  <c r="X30" i="1"/>
  <c r="X31" i="1"/>
  <c r="X32" i="1"/>
  <c r="X38" i="1"/>
  <c r="AC38" i="1"/>
  <c r="X39" i="1"/>
  <c r="X40" i="1"/>
  <c r="X41" i="1"/>
  <c r="X42" i="1"/>
  <c r="X43" i="1"/>
  <c r="X44" i="1"/>
  <c r="X48" i="1"/>
  <c r="X50" i="1"/>
  <c r="AC50" i="1"/>
  <c r="X51" i="1"/>
  <c r="X52" i="1"/>
  <c r="X53" i="1"/>
  <c r="X54" i="1"/>
  <c r="X55" i="1"/>
  <c r="X62" i="1"/>
  <c r="AC62" i="1"/>
  <c r="X63" i="1"/>
  <c r="X64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18" i="1"/>
  <c r="AB19" i="1"/>
  <c r="AB20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C19" i="1"/>
  <c r="AC20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9" i="1"/>
  <c r="AC40" i="1"/>
  <c r="AC41" i="1"/>
  <c r="AC42" i="1"/>
  <c r="AC43" i="1"/>
  <c r="AC44" i="1"/>
  <c r="AC45" i="1"/>
  <c r="AC46" i="1"/>
  <c r="AC47" i="1"/>
  <c r="AC48" i="1"/>
  <c r="AC49" i="1"/>
  <c r="AC51" i="1"/>
  <c r="AC52" i="1"/>
  <c r="AC53" i="1"/>
  <c r="AC54" i="1"/>
  <c r="AC55" i="1"/>
  <c r="AC56" i="1"/>
  <c r="AC57" i="1"/>
  <c r="AC58" i="1"/>
  <c r="AC59" i="1"/>
  <c r="AC60" i="1"/>
  <c r="AC61" i="1"/>
  <c r="AC63" i="1"/>
  <c r="AC64" i="1"/>
  <c r="AC65" i="1"/>
  <c r="AC66" i="1"/>
  <c r="AC67" i="1"/>
  <c r="AC68" i="1"/>
  <c r="AC69" i="1"/>
  <c r="AC70" i="1"/>
  <c r="AC71" i="1"/>
  <c r="AC72" i="1"/>
  <c r="AC73" i="1"/>
  <c r="AB14" i="1"/>
  <c r="AC14" i="1"/>
  <c r="AB16" i="1"/>
  <c r="AB35" i="1"/>
  <c r="AB34" i="1"/>
  <c r="AB36" i="1"/>
  <c r="F15" i="1"/>
  <c r="AC36" i="1"/>
  <c r="AB37" i="1"/>
  <c r="AC37" i="1"/>
  <c r="AC18" i="1"/>
  <c r="AC16" i="1"/>
  <c r="AC34" i="1"/>
  <c r="AC35" i="1"/>
  <c r="AB17" i="1" l="1"/>
  <c r="S14" i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H14" i="1"/>
  <c r="X14" i="1"/>
  <c r="Z14" i="1" s="1"/>
  <c r="K14" i="1" s="1"/>
  <c r="W72" i="1"/>
  <c r="W36" i="1"/>
  <c r="X25" i="1"/>
  <c r="X37" i="1"/>
  <c r="X61" i="1"/>
  <c r="W73" i="1"/>
  <c r="W49" i="1"/>
  <c r="X24" i="1"/>
  <c r="F14" i="1"/>
  <c r="R14" i="1" s="1"/>
  <c r="X35" i="1"/>
  <c r="X34" i="1"/>
  <c r="X69" i="1"/>
  <c r="W69" i="1"/>
  <c r="X21" i="1"/>
  <c r="W59" i="1"/>
  <c r="X59" i="1"/>
  <c r="X46" i="1"/>
  <c r="X57" i="1"/>
  <c r="W57" i="1"/>
  <c r="X71" i="1"/>
  <c r="W71" i="1"/>
  <c r="X47" i="1"/>
  <c r="Y16" i="1"/>
  <c r="Y17" i="1" s="1"/>
  <c r="X22" i="1"/>
  <c r="W45" i="1"/>
  <c r="X45" i="1"/>
  <c r="W56" i="1"/>
  <c r="X56" i="1"/>
  <c r="W20" i="1"/>
  <c r="W35" i="1"/>
  <c r="W46" i="1"/>
  <c r="X23" i="1"/>
  <c r="W21" i="1"/>
  <c r="W34" i="1"/>
  <c r="W70" i="1"/>
  <c r="X70" i="1"/>
  <c r="W58" i="1"/>
  <c r="X58" i="1"/>
  <c r="W33" i="1"/>
  <c r="X68" i="1"/>
  <c r="W68" i="1"/>
  <c r="W32" i="1"/>
  <c r="W47" i="1"/>
  <c r="W22" i="1"/>
  <c r="X66" i="1"/>
  <c r="W42" i="1"/>
  <c r="W30" i="1"/>
  <c r="W18" i="1"/>
  <c r="X65" i="1"/>
  <c r="Z15" i="1"/>
  <c r="K15" i="1" s="1"/>
  <c r="G15" i="1"/>
  <c r="O16" i="1"/>
  <c r="Z16" i="1" l="1"/>
  <c r="K16" i="1" s="1"/>
  <c r="AB21" i="1"/>
  <c r="R15" i="1"/>
  <c r="T15" i="1" s="1"/>
  <c r="U16" i="1" s="1"/>
  <c r="I16" i="1" s="1"/>
  <c r="T14" i="1"/>
  <c r="U15" i="1" s="1"/>
  <c r="I15" i="1" s="1"/>
  <c r="P17" i="1"/>
  <c r="G17" i="1" s="1"/>
  <c r="F16" i="1"/>
  <c r="Y18" i="1"/>
  <c r="Z18" i="1" s="1"/>
  <c r="K18" i="1" s="1"/>
  <c r="V15" i="1" l="1" a="1"/>
  <c r="V15" i="1" s="1"/>
  <c r="H15" i="1"/>
  <c r="J15" i="1" s="1"/>
  <c r="V16" i="1" a="1"/>
  <c r="V16" i="1" s="1"/>
  <c r="R16" i="1"/>
  <c r="T16" i="1" s="1"/>
  <c r="U17" i="1" s="1"/>
  <c r="I17" i="1" s="1"/>
  <c r="O17" i="1"/>
  <c r="Y19" i="1"/>
  <c r="H16" i="1" l="1"/>
  <c r="J16" i="1" s="1"/>
  <c r="V17" i="1" a="1"/>
  <c r="V17" i="1" s="1"/>
  <c r="H17" i="1"/>
  <c r="J17" i="1" s="1"/>
  <c r="Z19" i="1"/>
  <c r="K19" i="1" s="1"/>
  <c r="Y20" i="1"/>
  <c r="Y21" i="1" s="1"/>
  <c r="P18" i="1"/>
  <c r="F17" i="1"/>
  <c r="R17" i="1" s="1"/>
  <c r="T17" i="1" s="1"/>
  <c r="U18" i="1" s="1"/>
  <c r="I18" i="1" s="1"/>
  <c r="Y22" i="1" l="1"/>
  <c r="H18" i="1"/>
  <c r="J18" i="1" s="1"/>
  <c r="V18" i="1" a="1"/>
  <c r="V18" i="1" s="1"/>
  <c r="Z20" i="1"/>
  <c r="K20" i="1" s="1"/>
  <c r="G18" i="1"/>
  <c r="O18" i="1"/>
  <c r="Z22" i="1" l="1"/>
  <c r="K22" i="1" s="1"/>
  <c r="Y23" i="1"/>
  <c r="P19" i="1"/>
  <c r="F18" i="1"/>
  <c r="R18" i="1" s="1"/>
  <c r="T18" i="1" s="1"/>
  <c r="G19" i="1" l="1"/>
  <c r="O19" i="1"/>
  <c r="U19" i="1"/>
  <c r="I19" i="1" s="1"/>
  <c r="Z23" i="1"/>
  <c r="K23" i="1" s="1"/>
  <c r="Y24" i="1"/>
  <c r="V19" i="1" l="1" a="1"/>
  <c r="V19" i="1" s="1"/>
  <c r="H19" i="1"/>
  <c r="J19" i="1" s="1"/>
  <c r="Z24" i="1"/>
  <c r="K24" i="1" s="1"/>
  <c r="Y25" i="1"/>
  <c r="P20" i="1"/>
  <c r="F19" i="1"/>
  <c r="R19" i="1" s="1"/>
  <c r="T19" i="1" s="1"/>
  <c r="U20" i="1" s="1"/>
  <c r="I20" i="1" s="1"/>
  <c r="H20" i="1" l="1"/>
  <c r="J20" i="1" s="1"/>
  <c r="V20" i="1" a="1"/>
  <c r="V20" i="1" s="1"/>
  <c r="G20" i="1"/>
  <c r="O20" i="1"/>
  <c r="Z25" i="1"/>
  <c r="K25" i="1" s="1"/>
  <c r="Y26" i="1"/>
  <c r="Z26" i="1" l="1"/>
  <c r="K26" i="1" s="1"/>
  <c r="Y27" i="1"/>
  <c r="P21" i="1"/>
  <c r="F20" i="1"/>
  <c r="R20" i="1" s="1"/>
  <c r="T20" i="1" s="1"/>
  <c r="U21" i="1" l="1"/>
  <c r="I21" i="1" s="1"/>
  <c r="H21" i="1" s="1"/>
  <c r="J21" i="1" s="1"/>
  <c r="Z27" i="1"/>
  <c r="K27" i="1" s="1"/>
  <c r="Y28" i="1"/>
  <c r="G21" i="1"/>
  <c r="O21" i="1"/>
  <c r="V21" i="1" l="1" a="1"/>
  <c r="V21" i="1" s="1"/>
  <c r="Z28" i="1"/>
  <c r="K28" i="1" s="1"/>
  <c r="Y29" i="1"/>
  <c r="P22" i="1"/>
  <c r="F21" i="1"/>
  <c r="R21" i="1" s="1"/>
  <c r="T21" i="1" s="1"/>
  <c r="U22" i="1" s="1"/>
  <c r="I22" i="1" s="1"/>
  <c r="V22" i="1" l="1" a="1"/>
  <c r="V22" i="1" s="1"/>
  <c r="H22" i="1"/>
  <c r="J22" i="1" s="1"/>
  <c r="Z29" i="1"/>
  <c r="K29" i="1" s="1"/>
  <c r="Y30" i="1"/>
  <c r="G22" i="1"/>
  <c r="O22" i="1"/>
  <c r="P23" i="1" l="1"/>
  <c r="F22" i="1"/>
  <c r="R22" i="1" s="1"/>
  <c r="T22" i="1" s="1"/>
  <c r="Z30" i="1"/>
  <c r="K30" i="1" s="1"/>
  <c r="Y31" i="1"/>
  <c r="U23" i="1" l="1"/>
  <c r="I23" i="1" s="1"/>
  <c r="H23" i="1" s="1"/>
  <c r="J23" i="1" s="1"/>
  <c r="Z31" i="1"/>
  <c r="K31" i="1" s="1"/>
  <c r="Y32" i="1"/>
  <c r="G23" i="1"/>
  <c r="O23" i="1"/>
  <c r="V23" i="1" l="1" a="1"/>
  <c r="V23" i="1" s="1"/>
  <c r="P24" i="1"/>
  <c r="F23" i="1"/>
  <c r="R23" i="1" s="1"/>
  <c r="T23" i="1" s="1"/>
  <c r="Z32" i="1"/>
  <c r="K32" i="1" s="1"/>
  <c r="Y33" i="1"/>
  <c r="U24" i="1" l="1"/>
  <c r="I24" i="1" s="1"/>
  <c r="V24" i="1" s="1" a="1"/>
  <c r="V24" i="1" s="1"/>
  <c r="Z33" i="1"/>
  <c r="K33" i="1" s="1"/>
  <c r="Y34" i="1"/>
  <c r="G24" i="1"/>
  <c r="O24" i="1"/>
  <c r="H24" i="1" l="1"/>
  <c r="J24" i="1" s="1"/>
  <c r="P25" i="1"/>
  <c r="F24" i="1"/>
  <c r="R24" i="1" s="1"/>
  <c r="T24" i="1" s="1"/>
  <c r="Z34" i="1"/>
  <c r="K34" i="1" s="1"/>
  <c r="Y35" i="1"/>
  <c r="Z35" i="1" l="1"/>
  <c r="K35" i="1" s="1"/>
  <c r="Y36" i="1"/>
  <c r="U25" i="1"/>
  <c r="I25" i="1" s="1"/>
  <c r="G25" i="1"/>
  <c r="O25" i="1"/>
  <c r="Z36" i="1" l="1"/>
  <c r="K36" i="1" s="1"/>
  <c r="Y37" i="1"/>
  <c r="P26" i="1"/>
  <c r="F25" i="1"/>
  <c r="R25" i="1" s="1"/>
  <c r="T25" i="1" s="1"/>
  <c r="U26" i="1" s="1"/>
  <c r="I26" i="1" s="1"/>
  <c r="H25" i="1"/>
  <c r="J25" i="1" s="1"/>
  <c r="V25" i="1" a="1"/>
  <c r="V25" i="1" s="1"/>
  <c r="V26" i="1" l="1" a="1"/>
  <c r="V26" i="1" s="1"/>
  <c r="H26" i="1"/>
  <c r="J26" i="1" s="1"/>
  <c r="G26" i="1"/>
  <c r="O26" i="1"/>
  <c r="Z37" i="1"/>
  <c r="K37" i="1" s="1"/>
  <c r="Y38" i="1"/>
  <c r="Z38" i="1" l="1"/>
  <c r="K38" i="1" s="1"/>
  <c r="Y39" i="1"/>
  <c r="P27" i="1"/>
  <c r="F26" i="1"/>
  <c r="R26" i="1" s="1"/>
  <c r="T26" i="1" s="1"/>
  <c r="G27" i="1" l="1"/>
  <c r="O27" i="1"/>
  <c r="U27" i="1"/>
  <c r="I27" i="1" s="1"/>
  <c r="Z39" i="1"/>
  <c r="K39" i="1" s="1"/>
  <c r="Y40" i="1"/>
  <c r="Z40" i="1" l="1"/>
  <c r="K40" i="1" s="1"/>
  <c r="Y41" i="1"/>
  <c r="H27" i="1"/>
  <c r="J27" i="1" s="1"/>
  <c r="V27" i="1" a="1"/>
  <c r="V27" i="1" s="1"/>
  <c r="P28" i="1"/>
  <c r="F27" i="1"/>
  <c r="R27" i="1" s="1"/>
  <c r="T27" i="1" s="1"/>
  <c r="U28" i="1" s="1"/>
  <c r="I28" i="1" s="1"/>
  <c r="Z41" i="1" l="1"/>
  <c r="K41" i="1" s="1"/>
  <c r="Y42" i="1"/>
  <c r="H28" i="1"/>
  <c r="J28" i="1" s="1"/>
  <c r="V28" i="1" a="1"/>
  <c r="V28" i="1" s="1"/>
  <c r="G28" i="1"/>
  <c r="O28" i="1"/>
  <c r="P29" i="1" l="1"/>
  <c r="F28" i="1"/>
  <c r="R28" i="1" s="1"/>
  <c r="T28" i="1" s="1"/>
  <c r="Z42" i="1"/>
  <c r="K42" i="1" s="1"/>
  <c r="Y43" i="1"/>
  <c r="U29" i="1" l="1"/>
  <c r="I29" i="1" s="1"/>
  <c r="H29" i="1" s="1"/>
  <c r="J29" i="1" s="1"/>
  <c r="Z43" i="1"/>
  <c r="K43" i="1" s="1"/>
  <c r="Y44" i="1"/>
  <c r="G29" i="1"/>
  <c r="O29" i="1"/>
  <c r="V29" i="1" l="1" a="1"/>
  <c r="V29" i="1" s="1"/>
  <c r="P30" i="1"/>
  <c r="F29" i="1"/>
  <c r="R29" i="1" s="1"/>
  <c r="T29" i="1" s="1"/>
  <c r="Z44" i="1"/>
  <c r="K44" i="1" s="1"/>
  <c r="Y45" i="1"/>
  <c r="U30" i="1" l="1"/>
  <c r="I30" i="1" s="1"/>
  <c r="H30" i="1" s="1"/>
  <c r="J30" i="1" s="1"/>
  <c r="Z45" i="1"/>
  <c r="K45" i="1" s="1"/>
  <c r="Y46" i="1"/>
  <c r="G30" i="1"/>
  <c r="O30" i="1"/>
  <c r="V30" i="1" l="1" a="1"/>
  <c r="V30" i="1" s="1"/>
  <c r="P31" i="1"/>
  <c r="F30" i="1"/>
  <c r="R30" i="1" s="1"/>
  <c r="T30" i="1" s="1"/>
  <c r="Z46" i="1"/>
  <c r="K46" i="1" s="1"/>
  <c r="Y47" i="1"/>
  <c r="U31" i="1" l="1"/>
  <c r="I31" i="1" s="1"/>
  <c r="H31" i="1" s="1"/>
  <c r="J31" i="1" s="1"/>
  <c r="Z47" i="1"/>
  <c r="K47" i="1" s="1"/>
  <c r="Y48" i="1"/>
  <c r="G31" i="1"/>
  <c r="O31" i="1"/>
  <c r="V31" i="1" l="1" a="1"/>
  <c r="V31" i="1" s="1"/>
  <c r="Z48" i="1"/>
  <c r="K48" i="1" s="1"/>
  <c r="Y49" i="1"/>
  <c r="P32" i="1"/>
  <c r="F31" i="1"/>
  <c r="R31" i="1" s="1"/>
  <c r="T31" i="1" s="1"/>
  <c r="U32" i="1" s="1"/>
  <c r="I32" i="1" s="1"/>
  <c r="V32" i="1" l="1" a="1"/>
  <c r="V32" i="1" s="1"/>
  <c r="H32" i="1"/>
  <c r="J32" i="1" s="1"/>
  <c r="Z49" i="1"/>
  <c r="K49" i="1" s="1"/>
  <c r="Y50" i="1"/>
  <c r="G32" i="1"/>
  <c r="O32" i="1"/>
  <c r="Z50" i="1" l="1"/>
  <c r="K50" i="1" s="1"/>
  <c r="Y51" i="1"/>
  <c r="P33" i="1"/>
  <c r="F32" i="1"/>
  <c r="R32" i="1" s="1"/>
  <c r="T32" i="1" s="1"/>
  <c r="G33" i="1" l="1"/>
  <c r="O33" i="1"/>
  <c r="Z51" i="1"/>
  <c r="K51" i="1" s="1"/>
  <c r="Y52" i="1"/>
  <c r="U33" i="1"/>
  <c r="I33" i="1" s="1"/>
  <c r="V33" i="1" l="1" a="1"/>
  <c r="V33" i="1" s="1"/>
  <c r="H33" i="1"/>
  <c r="J33" i="1" s="1"/>
  <c r="Z52" i="1"/>
  <c r="K52" i="1" s="1"/>
  <c r="Y53" i="1"/>
  <c r="P34" i="1"/>
  <c r="F33" i="1"/>
  <c r="R33" i="1" s="1"/>
  <c r="T33" i="1" s="1"/>
  <c r="U34" i="1" s="1"/>
  <c r="I34" i="1" s="1"/>
  <c r="V34" i="1" l="1" a="1"/>
  <c r="V34" i="1" s="1"/>
  <c r="H34" i="1"/>
  <c r="J34" i="1" s="1"/>
  <c r="G34" i="1"/>
  <c r="O34" i="1"/>
  <c r="Z53" i="1"/>
  <c r="K53" i="1" s="1"/>
  <c r="Y54" i="1"/>
  <c r="Z54" i="1" l="1"/>
  <c r="K54" i="1" s="1"/>
  <c r="Y55" i="1"/>
  <c r="P35" i="1"/>
  <c r="F34" i="1"/>
  <c r="R34" i="1" s="1"/>
  <c r="T34" i="1" s="1"/>
  <c r="U35" i="1" s="1"/>
  <c r="I35" i="1" s="1"/>
  <c r="V35" i="1" l="1" a="1"/>
  <c r="V35" i="1" s="1"/>
  <c r="H35" i="1"/>
  <c r="J35" i="1" s="1"/>
  <c r="Z55" i="1"/>
  <c r="K55" i="1" s="1"/>
  <c r="Y56" i="1"/>
  <c r="G35" i="1"/>
  <c r="O35" i="1"/>
  <c r="P36" i="1" l="1"/>
  <c r="F35" i="1"/>
  <c r="R35" i="1" s="1"/>
  <c r="T35" i="1" s="1"/>
  <c r="Z56" i="1"/>
  <c r="K56" i="1" s="1"/>
  <c r="Y57" i="1"/>
  <c r="U36" i="1" l="1"/>
  <c r="I36" i="1" s="1"/>
  <c r="V36" i="1" s="1" a="1"/>
  <c r="V36" i="1" s="1"/>
  <c r="Z57" i="1"/>
  <c r="K57" i="1" s="1"/>
  <c r="Y58" i="1"/>
  <c r="G36" i="1"/>
  <c r="O36" i="1"/>
  <c r="H36" i="1" l="1"/>
  <c r="J36" i="1" s="1"/>
  <c r="P37" i="1"/>
  <c r="F36" i="1"/>
  <c r="R36" i="1" s="1"/>
  <c r="T36" i="1" s="1"/>
  <c r="Z58" i="1"/>
  <c r="K58" i="1" s="1"/>
  <c r="Y59" i="1"/>
  <c r="U37" i="1" l="1"/>
  <c r="I37" i="1" s="1"/>
  <c r="V37" i="1" s="1" a="1"/>
  <c r="V37" i="1" s="1"/>
  <c r="G37" i="1"/>
  <c r="O37" i="1"/>
  <c r="Z59" i="1"/>
  <c r="K59" i="1" s="1"/>
  <c r="Y60" i="1"/>
  <c r="H37" i="1" l="1"/>
  <c r="J37" i="1" s="1"/>
  <c r="Z60" i="1"/>
  <c r="K60" i="1" s="1"/>
  <c r="Y61" i="1"/>
  <c r="P38" i="1"/>
  <c r="F37" i="1"/>
  <c r="R37" i="1" s="1"/>
  <c r="T37" i="1" s="1"/>
  <c r="U38" i="1" s="1"/>
  <c r="I38" i="1" s="1"/>
  <c r="H38" i="1" l="1"/>
  <c r="J38" i="1" s="1"/>
  <c r="V38" i="1" a="1"/>
  <c r="V38" i="1" s="1"/>
  <c r="Z61" i="1"/>
  <c r="K61" i="1" s="1"/>
  <c r="Y62" i="1"/>
  <c r="G38" i="1"/>
  <c r="O38" i="1"/>
  <c r="P39" i="1" l="1"/>
  <c r="F38" i="1"/>
  <c r="R38" i="1" s="1"/>
  <c r="T38" i="1" s="1"/>
  <c r="Z62" i="1"/>
  <c r="K62" i="1" s="1"/>
  <c r="Y63" i="1"/>
  <c r="U39" i="1" l="1"/>
  <c r="I39" i="1" s="1"/>
  <c r="H39" i="1" s="1"/>
  <c r="J39" i="1" s="1"/>
  <c r="Z63" i="1"/>
  <c r="K63" i="1" s="1"/>
  <c r="Y64" i="1"/>
  <c r="G39" i="1"/>
  <c r="O39" i="1"/>
  <c r="V39" i="1" l="1" a="1"/>
  <c r="V39" i="1" s="1"/>
  <c r="P40" i="1"/>
  <c r="F39" i="1"/>
  <c r="R39" i="1" s="1"/>
  <c r="T39" i="1" s="1"/>
  <c r="Z64" i="1"/>
  <c r="K64" i="1" s="1"/>
  <c r="Y65" i="1"/>
  <c r="U40" i="1" l="1"/>
  <c r="I40" i="1" s="1"/>
  <c r="H40" i="1" s="1"/>
  <c r="J40" i="1" s="1"/>
  <c r="Z65" i="1"/>
  <c r="K65" i="1" s="1"/>
  <c r="Y66" i="1"/>
  <c r="G40" i="1"/>
  <c r="O40" i="1"/>
  <c r="V40" i="1" l="1" a="1"/>
  <c r="V40" i="1" s="1"/>
  <c r="P41" i="1"/>
  <c r="F40" i="1"/>
  <c r="R40" i="1" s="1"/>
  <c r="T40" i="1" s="1"/>
  <c r="Z66" i="1"/>
  <c r="K66" i="1" s="1"/>
  <c r="Y67" i="1"/>
  <c r="U41" i="1" l="1"/>
  <c r="I41" i="1" s="1"/>
  <c r="V41" i="1" s="1" a="1"/>
  <c r="V41" i="1" s="1"/>
  <c r="Z67" i="1"/>
  <c r="K67" i="1" s="1"/>
  <c r="Y68" i="1"/>
  <c r="G41" i="1"/>
  <c r="O41" i="1"/>
  <c r="H41" i="1" l="1"/>
  <c r="J41" i="1" s="1"/>
  <c r="P42" i="1"/>
  <c r="F41" i="1"/>
  <c r="R41" i="1" s="1"/>
  <c r="T41" i="1" s="1"/>
  <c r="Z68" i="1"/>
  <c r="K68" i="1" s="1"/>
  <c r="Y69" i="1"/>
  <c r="Z69" i="1" l="1"/>
  <c r="K69" i="1" s="1"/>
  <c r="Y70" i="1"/>
  <c r="U42" i="1"/>
  <c r="I42" i="1" s="1"/>
  <c r="G42" i="1"/>
  <c r="O42" i="1"/>
  <c r="H42" i="1" l="1"/>
  <c r="J42" i="1" s="1"/>
  <c r="V42" i="1" a="1"/>
  <c r="V42" i="1" s="1"/>
  <c r="P43" i="1"/>
  <c r="F42" i="1"/>
  <c r="R42" i="1" s="1"/>
  <c r="T42" i="1" s="1"/>
  <c r="U43" i="1" s="1"/>
  <c r="I43" i="1" s="1"/>
  <c r="Z70" i="1"/>
  <c r="K70" i="1" s="1"/>
  <c r="Y71" i="1"/>
  <c r="V43" i="1" l="1" a="1"/>
  <c r="V43" i="1" s="1"/>
  <c r="H43" i="1"/>
  <c r="J43" i="1" s="1"/>
  <c r="Z71" i="1"/>
  <c r="K71" i="1" s="1"/>
  <c r="Y72" i="1"/>
  <c r="G43" i="1"/>
  <c r="O43" i="1"/>
  <c r="P44" i="1" l="1"/>
  <c r="F43" i="1"/>
  <c r="R43" i="1" s="1"/>
  <c r="T43" i="1" s="1"/>
  <c r="Z72" i="1"/>
  <c r="K72" i="1" s="1"/>
  <c r="Y73" i="1"/>
  <c r="U44" i="1" l="1"/>
  <c r="I44" i="1" s="1"/>
  <c r="V44" i="1" s="1" a="1"/>
  <c r="V44" i="1" s="1"/>
  <c r="Z73" i="1"/>
  <c r="K73" i="1" s="1"/>
  <c r="AA14" i="1"/>
  <c r="G44" i="1"/>
  <c r="O44" i="1"/>
  <c r="J6" i="1" l="1"/>
  <c r="AC17" i="1"/>
  <c r="Z17" i="1" s="1"/>
  <c r="K17" i="1" s="1"/>
  <c r="AC21" i="1"/>
  <c r="Z21" i="1" s="1"/>
  <c r="K21" i="1" s="1"/>
  <c r="H44" i="1"/>
  <c r="J44" i="1" s="1"/>
  <c r="P45" i="1"/>
  <c r="F44" i="1"/>
  <c r="R44" i="1" s="1"/>
  <c r="T44" i="1" s="1"/>
  <c r="U45" i="1" l="1"/>
  <c r="I45" i="1" s="1"/>
  <c r="H45" i="1" s="1"/>
  <c r="J45" i="1" s="1"/>
  <c r="G45" i="1"/>
  <c r="O45" i="1"/>
  <c r="V45" i="1" l="1" a="1"/>
  <c r="V45" i="1" s="1"/>
  <c r="P46" i="1"/>
  <c r="F45" i="1"/>
  <c r="R45" i="1" s="1"/>
  <c r="T45" i="1" s="1"/>
  <c r="U46" i="1" l="1"/>
  <c r="I46" i="1" s="1"/>
  <c r="V46" i="1" a="1"/>
  <c r="V46" i="1" s="1"/>
  <c r="H46" i="1"/>
  <c r="J46" i="1" s="1"/>
  <c r="G46" i="1"/>
  <c r="O46" i="1"/>
  <c r="P47" i="1" l="1"/>
  <c r="F46" i="1"/>
  <c r="R46" i="1" s="1"/>
  <c r="T46" i="1" s="1"/>
  <c r="U47" i="1" s="1"/>
  <c r="I47" i="1" s="1"/>
  <c r="V47" i="1" l="1" a="1"/>
  <c r="V47" i="1" s="1"/>
  <c r="H47" i="1"/>
  <c r="J47" i="1" s="1"/>
  <c r="G47" i="1"/>
  <c r="O47" i="1"/>
  <c r="P48" i="1" l="1"/>
  <c r="F47" i="1"/>
  <c r="R47" i="1" s="1"/>
  <c r="T47" i="1" s="1"/>
  <c r="U48" i="1" l="1"/>
  <c r="I48" i="1" s="1"/>
  <c r="H48" i="1" s="1"/>
  <c r="J48" i="1" s="1"/>
  <c r="G48" i="1"/>
  <c r="O48" i="1"/>
  <c r="V48" i="1" l="1" a="1"/>
  <c r="V48" i="1" s="1"/>
  <c r="P49" i="1"/>
  <c r="F48" i="1"/>
  <c r="R48" i="1" s="1"/>
  <c r="T48" i="1" s="1"/>
  <c r="U49" i="1" l="1"/>
  <c r="I49" i="1" s="1"/>
  <c r="H49" i="1" s="1"/>
  <c r="J49" i="1" s="1"/>
  <c r="G49" i="1"/>
  <c r="O49" i="1"/>
  <c r="V49" i="1" l="1" a="1"/>
  <c r="V49" i="1" s="1"/>
  <c r="P50" i="1"/>
  <c r="F49" i="1"/>
  <c r="R49" i="1" s="1"/>
  <c r="T49" i="1" s="1"/>
  <c r="U50" i="1" l="1"/>
  <c r="I50" i="1" s="1"/>
  <c r="V50" i="1" s="1" a="1"/>
  <c r="V50" i="1" s="1"/>
  <c r="G50" i="1"/>
  <c r="O50" i="1"/>
  <c r="H50" i="1" l="1"/>
  <c r="J50" i="1" s="1"/>
  <c r="P51" i="1"/>
  <c r="F50" i="1"/>
  <c r="R50" i="1" s="1"/>
  <c r="T50" i="1" s="1"/>
  <c r="U51" i="1" l="1"/>
  <c r="I51" i="1" s="1"/>
  <c r="V51" i="1" s="1" a="1"/>
  <c r="V51" i="1" s="1"/>
  <c r="G51" i="1"/>
  <c r="O51" i="1"/>
  <c r="H51" i="1" l="1"/>
  <c r="J51" i="1" s="1"/>
  <c r="P52" i="1"/>
  <c r="F51" i="1"/>
  <c r="R51" i="1" s="1"/>
  <c r="T51" i="1" s="1"/>
  <c r="G52" i="1" l="1"/>
  <c r="O52" i="1"/>
  <c r="U52" i="1"/>
  <c r="I52" i="1" s="1"/>
  <c r="P53" i="1" l="1"/>
  <c r="F52" i="1"/>
  <c r="R52" i="1" s="1"/>
  <c r="T52" i="1" s="1"/>
  <c r="H52" i="1"/>
  <c r="J52" i="1" s="1"/>
  <c r="V52" i="1" a="1"/>
  <c r="V52" i="1" s="1"/>
  <c r="U53" i="1" l="1"/>
  <c r="I53" i="1" s="1"/>
  <c r="H53" i="1" s="1"/>
  <c r="J53" i="1" s="1"/>
  <c r="G53" i="1"/>
  <c r="O53" i="1"/>
  <c r="V53" i="1" l="1" a="1"/>
  <c r="V53" i="1" s="1"/>
  <c r="P54" i="1"/>
  <c r="F53" i="1"/>
  <c r="R53" i="1" s="1"/>
  <c r="T53" i="1" s="1"/>
  <c r="U54" i="1" l="1"/>
  <c r="I54" i="1" s="1"/>
  <c r="V54" i="1" s="1" a="1"/>
  <c r="V54" i="1" s="1"/>
  <c r="G54" i="1"/>
  <c r="O54" i="1"/>
  <c r="H54" i="1" l="1"/>
  <c r="J54" i="1" s="1"/>
  <c r="P55" i="1"/>
  <c r="F54" i="1"/>
  <c r="R54" i="1" s="1"/>
  <c r="T54" i="1" s="1"/>
  <c r="U55" i="1" l="1"/>
  <c r="I55" i="1" s="1"/>
  <c r="H55" i="1" s="1"/>
  <c r="J55" i="1" s="1"/>
  <c r="G55" i="1"/>
  <c r="O55" i="1"/>
  <c r="V55" i="1" l="1" a="1"/>
  <c r="V55" i="1" s="1"/>
  <c r="P56" i="1"/>
  <c r="F55" i="1"/>
  <c r="R55" i="1" s="1"/>
  <c r="T55" i="1" s="1"/>
  <c r="U56" i="1" l="1"/>
  <c r="I56" i="1" s="1"/>
  <c r="V56" i="1" s="1" a="1"/>
  <c r="V56" i="1" s="1"/>
  <c r="G56" i="1"/>
  <c r="O56" i="1"/>
  <c r="H56" i="1" l="1"/>
  <c r="J56" i="1" s="1"/>
  <c r="P57" i="1"/>
  <c r="F56" i="1"/>
  <c r="R56" i="1" s="1"/>
  <c r="T56" i="1" s="1"/>
  <c r="G57" i="1" l="1"/>
  <c r="O57" i="1"/>
  <c r="U57" i="1"/>
  <c r="I57" i="1" s="1"/>
  <c r="V57" i="1" l="1" a="1"/>
  <c r="V57" i="1" s="1"/>
  <c r="H57" i="1"/>
  <c r="J57" i="1" s="1"/>
  <c r="P58" i="1"/>
  <c r="F57" i="1"/>
  <c r="R57" i="1" s="1"/>
  <c r="T57" i="1" s="1"/>
  <c r="U58" i="1" s="1"/>
  <c r="I58" i="1" s="1"/>
  <c r="H58" i="1" l="1"/>
  <c r="J58" i="1" s="1"/>
  <c r="V58" i="1" a="1"/>
  <c r="V58" i="1" s="1"/>
  <c r="G58" i="1"/>
  <c r="O58" i="1"/>
  <c r="P59" i="1" l="1"/>
  <c r="F58" i="1"/>
  <c r="R58" i="1" s="1"/>
  <c r="T58" i="1" s="1"/>
  <c r="U59" i="1" l="1"/>
  <c r="I59" i="1" s="1"/>
  <c r="H59" i="1" s="1"/>
  <c r="J59" i="1" s="1"/>
  <c r="G59" i="1"/>
  <c r="O59" i="1"/>
  <c r="V59" i="1" l="1" a="1"/>
  <c r="V59" i="1" s="1"/>
  <c r="P60" i="1"/>
  <c r="F59" i="1"/>
  <c r="R59" i="1" s="1"/>
  <c r="T59" i="1" s="1"/>
  <c r="U60" i="1" l="1"/>
  <c r="I60" i="1" s="1"/>
  <c r="H60" i="1" s="1"/>
  <c r="J60" i="1" s="1"/>
  <c r="V60" i="1" a="1"/>
  <c r="V60" i="1" s="1"/>
  <c r="G60" i="1"/>
  <c r="O60" i="1"/>
  <c r="P61" i="1" l="1"/>
  <c r="F60" i="1"/>
  <c r="R60" i="1" s="1"/>
  <c r="T60" i="1" s="1"/>
  <c r="U61" i="1" s="1"/>
  <c r="I61" i="1" s="1"/>
  <c r="H61" i="1" l="1"/>
  <c r="J61" i="1" s="1"/>
  <c r="V61" i="1" a="1"/>
  <c r="V61" i="1" s="1"/>
  <c r="G61" i="1"/>
  <c r="O61" i="1"/>
  <c r="P62" i="1" l="1"/>
  <c r="F61" i="1"/>
  <c r="R61" i="1" s="1"/>
  <c r="T61" i="1" s="1"/>
  <c r="U62" i="1" l="1"/>
  <c r="I62" i="1" s="1"/>
  <c r="V62" i="1" s="1" a="1"/>
  <c r="V62" i="1" s="1"/>
  <c r="G62" i="1"/>
  <c r="O62" i="1"/>
  <c r="H62" i="1" l="1"/>
  <c r="J62" i="1" s="1"/>
  <c r="P63" i="1"/>
  <c r="F62" i="1"/>
  <c r="R62" i="1" s="1"/>
  <c r="T62" i="1" s="1"/>
  <c r="U63" i="1" l="1"/>
  <c r="I63" i="1" s="1"/>
  <c r="V63" i="1" s="1" a="1"/>
  <c r="V63" i="1" s="1"/>
  <c r="G63" i="1"/>
  <c r="O63" i="1"/>
  <c r="H63" i="1" l="1"/>
  <c r="J63" i="1" s="1"/>
  <c r="P64" i="1"/>
  <c r="F63" i="1"/>
  <c r="R63" i="1" s="1"/>
  <c r="T63" i="1" s="1"/>
  <c r="U64" i="1" l="1"/>
  <c r="I64" i="1" s="1"/>
  <c r="G64" i="1"/>
  <c r="O64" i="1"/>
  <c r="V64" i="1" l="1" a="1"/>
  <c r="V64" i="1" s="1"/>
  <c r="H64" i="1"/>
  <c r="J64" i="1" s="1"/>
  <c r="P65" i="1"/>
  <c r="F64" i="1"/>
  <c r="R64" i="1" s="1"/>
  <c r="T64" i="1" s="1"/>
  <c r="G65" i="1" l="1"/>
  <c r="O65" i="1"/>
  <c r="U65" i="1"/>
  <c r="I65" i="1" s="1"/>
  <c r="V65" i="1" l="1" a="1"/>
  <c r="V65" i="1" s="1"/>
  <c r="H65" i="1"/>
  <c r="J65" i="1" s="1"/>
  <c r="P66" i="1"/>
  <c r="F65" i="1"/>
  <c r="R65" i="1" s="1"/>
  <c r="T65" i="1" s="1"/>
  <c r="U66" i="1" s="1"/>
  <c r="I66" i="1" s="1"/>
  <c r="V66" i="1" l="1" a="1"/>
  <c r="V66" i="1" s="1"/>
  <c r="H66" i="1"/>
  <c r="J66" i="1" s="1"/>
  <c r="G66" i="1"/>
  <c r="O66" i="1"/>
  <c r="P67" i="1" l="1"/>
  <c r="F66" i="1"/>
  <c r="R66" i="1" s="1"/>
  <c r="T66" i="1" s="1"/>
  <c r="G67" i="1" l="1"/>
  <c r="O67" i="1"/>
  <c r="U67" i="1"/>
  <c r="I67" i="1" s="1"/>
  <c r="H67" i="1" l="1"/>
  <c r="J67" i="1" s="1"/>
  <c r="V67" i="1" a="1"/>
  <c r="V67" i="1" s="1"/>
  <c r="P68" i="1"/>
  <c r="F67" i="1"/>
  <c r="R67" i="1" s="1"/>
  <c r="T67" i="1" s="1"/>
  <c r="G68" i="1" l="1"/>
  <c r="O68" i="1"/>
  <c r="U68" i="1"/>
  <c r="I68" i="1" s="1"/>
  <c r="V68" i="1" l="1" a="1"/>
  <c r="V68" i="1" s="1"/>
  <c r="H68" i="1"/>
  <c r="J68" i="1" s="1"/>
  <c r="P69" i="1"/>
  <c r="F68" i="1"/>
  <c r="R68" i="1" s="1"/>
  <c r="T68" i="1" s="1"/>
  <c r="U69" i="1" s="1"/>
  <c r="I69" i="1" s="1"/>
  <c r="G69" i="1" l="1"/>
  <c r="O69" i="1"/>
  <c r="H69" i="1"/>
  <c r="J69" i="1" s="1"/>
  <c r="V69" i="1" a="1"/>
  <c r="V69" i="1" s="1"/>
  <c r="P70" i="1" l="1"/>
  <c r="F69" i="1"/>
  <c r="R69" i="1" s="1"/>
  <c r="T69" i="1" s="1"/>
  <c r="U70" i="1" s="1"/>
  <c r="I70" i="1" s="1"/>
  <c r="V70" i="1" l="1" a="1"/>
  <c r="V70" i="1" s="1"/>
  <c r="H70" i="1"/>
  <c r="J70" i="1" s="1"/>
  <c r="G70" i="1"/>
  <c r="O70" i="1"/>
  <c r="P71" i="1" l="1"/>
  <c r="F70" i="1"/>
  <c r="R70" i="1" s="1"/>
  <c r="T70" i="1" s="1"/>
  <c r="G71" i="1" l="1"/>
  <c r="U71" i="1"/>
  <c r="I71" i="1" s="1"/>
  <c r="O71" i="1"/>
  <c r="P72" i="1" l="1"/>
  <c r="F71" i="1"/>
  <c r="R71" i="1" s="1"/>
  <c r="T71" i="1" s="1"/>
  <c r="H71" i="1"/>
  <c r="J71" i="1" s="1"/>
  <c r="V71" i="1" a="1"/>
  <c r="V71" i="1" s="1"/>
  <c r="U72" i="1" l="1"/>
  <c r="I72" i="1" s="1"/>
  <c r="V72" i="1" s="1" a="1"/>
  <c r="V72" i="1" s="1"/>
  <c r="G72" i="1"/>
  <c r="O72" i="1"/>
  <c r="H72" i="1" l="1"/>
  <c r="J72" i="1" s="1"/>
  <c r="P73" i="1"/>
  <c r="F72" i="1"/>
  <c r="R72" i="1" s="1"/>
  <c r="T72" i="1" s="1"/>
  <c r="U73" i="1" l="1"/>
  <c r="I73" i="1" s="1"/>
  <c r="V73" i="1" s="1" a="1"/>
  <c r="V73" i="1" s="1"/>
  <c r="G73" i="1"/>
  <c r="O73" i="1"/>
  <c r="F73" i="1" s="1"/>
  <c r="R73" i="1" s="1"/>
  <c r="T73" i="1" s="1"/>
  <c r="S9" i="1" a="1"/>
  <c r="S9" i="1" s="1"/>
  <c r="J5" i="1" s="1"/>
  <c r="J7" i="1" s="1"/>
  <c r="R9" i="1" a="1"/>
  <c r="R9" i="1" s="1"/>
  <c r="G9" i="1" s="1"/>
  <c r="H73" i="1" l="1"/>
  <c r="J7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<sst xmlns="http://schemas.openxmlformats.org/spreadsheetml/2006/main" count="50" uniqueCount="47">
  <si>
    <t>Difference between first and last point</t>
  </si>
  <si>
    <t>Difference between sum B.S and F.S</t>
  </si>
  <si>
    <t>فرق منسوب النقطة</t>
  </si>
  <si>
    <t>S.No</t>
  </si>
  <si>
    <t>Point
No</t>
  </si>
  <si>
    <t>Back 
Sight</t>
  </si>
  <si>
    <t>Inter
Sight</t>
  </si>
  <si>
    <t>Fore 
Sight</t>
  </si>
  <si>
    <t>H.L.S</t>
  </si>
  <si>
    <t>P.H</t>
  </si>
  <si>
    <t>NOTE</t>
  </si>
  <si>
    <t>م س م</t>
  </si>
  <si>
    <t>م ن خ</t>
  </si>
  <si>
    <t xml:space="preserve"> </t>
  </si>
  <si>
    <t>no</t>
  </si>
  <si>
    <t>name</t>
  </si>
  <si>
    <t>final</t>
  </si>
  <si>
    <t>=</t>
  </si>
  <si>
    <t>DEF (+) (-)</t>
  </si>
  <si>
    <t>DEF (+) (-)
H.L.S</t>
  </si>
  <si>
    <t>DEF  TO PO</t>
  </si>
  <si>
    <t>Job Title:</t>
  </si>
  <si>
    <t>Job No:</t>
  </si>
  <si>
    <t>Staffman:</t>
  </si>
  <si>
    <t>Date:</t>
  </si>
  <si>
    <t>Misclosure:</t>
  </si>
  <si>
    <t>Set-ups:</t>
  </si>
  <si>
    <t>Error/Set-up:</t>
  </si>
  <si>
    <t>Start Value:</t>
  </si>
  <si>
    <t>Finish Valu :</t>
  </si>
  <si>
    <t>م س م2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</si>
  <si>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</si>
  <si>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</si>
  <si>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</si>
  <si>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</si>
  <si>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</si>
  <si>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</si>
  <si>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</si>
  <si>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</si>
  <si>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</si>
  <si>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Surveyor:</t>
  </si>
  <si>
    <t>Taher Shawky</t>
  </si>
  <si>
    <t>pm</t>
  </si>
  <si>
    <t>g1 rwad</t>
  </si>
  <si>
    <t>g2 rwad</t>
  </si>
  <si>
    <t>g1</t>
  </si>
  <si>
    <t>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</si>
</sst>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rgb="FF3F3F76"/>
      <name val="Aptos Narrow"/>
      <family val="2"/>
      <scheme val="minor"/>
    </font>
    <font>
      <b/>
      <sz val="10"/>
      <color rgb="FF3F3F3F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rgb="FF1C1D1C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rgb="FF5B0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DE9D9"/>
        <bgColor indexed="64"/>
      </patternFill>
    </fill>
  </fills>
  <borders count="3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rgb="FF000000"/>
      </right>
      <top style="double">
        <color indexed="64"/>
      </top>
      <bottom style="double">
        <color indexed="64"/>
      </bottom>
      <diagonal/>
    </border>
    <border>
      <left style="medium">
        <color rgb="FFCCCCCC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double">
        <color theme="4"/>
      </bottom>
      <diagonal/>
    </border>
    <border>
      <left/>
      <right/>
      <top style="thin">
        <color indexed="64"/>
      </top>
      <bottom style="double">
        <color theme="4"/>
      </bottom>
      <diagonal/>
    </border>
    <border>
      <left style="thin">
        <color indexed="64"/>
      </left>
      <right/>
      <top style="thin">
        <color theme="4"/>
      </top>
      <bottom style="thin">
        <color indexed="64"/>
      </bottom>
      <diagonal/>
    </border>
    <border>
      <left/>
      <right/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  <xf numFmtId="0" fontId="3" fillId="4" borderId="3" applyNumberFormat="0" applyAlignment="0" applyProtection="0"/>
    <xf numFmtId="0" fontId="4" fillId="5" borderId="0" applyNumberFormat="0" applyBorder="0" applyAlignment="0" applyProtection="0"/>
    <xf numFmtId="0" fontId="5" fillId="0" borderId="6" applyNumberFormat="0" applyFill="0" applyAlignment="0" applyProtection="0"/>
    <xf numFmtId="0" fontId="6" fillId="0" borderId="31" applyNumberFormat="0" applyFill="0" applyAlignment="0" applyProtection="0"/>
  </cellStyleXfs>
  <cellXfs count="52">
    <xf numFmtId="0" fontId="0" fillId="0" borderId="0" xfId="0"/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/>
    <xf numFmtId="0" fontId="8" fillId="7" borderId="24" xfId="0" applyFont="1" applyFill="1" applyBorder="1" applyAlignment="1">
      <alignment horizontal="right" vertical="center" wrapText="1"/>
    </xf>
    <xf numFmtId="0" fontId="8" fillId="8" borderId="27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/>
    </xf>
    <xf numFmtId="0" fontId="8" fillId="7" borderId="25" xfId="0" applyFont="1" applyFill="1" applyBorder="1" applyAlignment="1">
      <alignment horizontal="right" vertical="center" wrapText="1"/>
    </xf>
    <xf numFmtId="0" fontId="8" fillId="8" borderId="26" xfId="0" applyFont="1" applyFill="1" applyBorder="1" applyAlignment="1" applyProtection="1">
      <alignment horizontal="center" vertical="center" wrapText="1"/>
      <protection locked="0"/>
    </xf>
    <xf numFmtId="0" fontId="8" fillId="7" borderId="25" xfId="0" applyFont="1" applyFill="1" applyBorder="1" applyAlignment="1">
      <alignment horizontal="center" vertical="center" wrapText="1"/>
    </xf>
    <xf numFmtId="0" fontId="11" fillId="3" borderId="30" xfId="5" applyFont="1" applyFill="1" applyBorder="1" applyAlignment="1" applyProtection="1">
      <alignment horizontal="center" vertical="center" wrapText="1"/>
      <protection hidden="1"/>
    </xf>
    <xf numFmtId="0" fontId="12" fillId="4" borderId="3" xfId="3" applyFont="1" applyAlignment="1" applyProtection="1">
      <alignment horizontal="center" vertical="center" wrapText="1"/>
      <protection hidden="1"/>
    </xf>
    <xf numFmtId="0" fontId="11" fillId="3" borderId="36" xfId="5" applyFont="1" applyFill="1" applyBorder="1" applyAlignment="1" applyProtection="1">
      <alignment horizontal="center" vertical="center" wrapText="1"/>
      <protection hidden="1"/>
    </xf>
    <xf numFmtId="164" fontId="7" fillId="0" borderId="0" xfId="0" applyNumberFormat="1" applyFont="1"/>
    <xf numFmtId="0" fontId="13" fillId="6" borderId="20" xfId="0" applyFont="1" applyFill="1" applyBorder="1" applyAlignment="1">
      <alignment horizontal="center" vertical="center" wrapText="1"/>
    </xf>
    <xf numFmtId="0" fontId="13" fillId="6" borderId="21" xfId="0" applyFont="1" applyFill="1" applyBorder="1" applyAlignment="1">
      <alignment horizontal="center" vertical="center" wrapText="1"/>
    </xf>
    <xf numFmtId="0" fontId="13" fillId="6" borderId="22" xfId="0" applyFont="1" applyFill="1" applyBorder="1" applyAlignment="1">
      <alignment horizontal="center" vertical="center" wrapText="1"/>
    </xf>
    <xf numFmtId="164" fontId="13" fillId="6" borderId="22" xfId="0" applyNumberFormat="1" applyFont="1" applyFill="1" applyBorder="1" applyAlignment="1">
      <alignment horizontal="center" vertical="center" wrapText="1"/>
    </xf>
    <xf numFmtId="0" fontId="13" fillId="6" borderId="23" xfId="0" applyFont="1" applyFill="1" applyBorder="1" applyAlignment="1">
      <alignment horizontal="center" vertical="center" wrapText="1"/>
    </xf>
    <xf numFmtId="0" fontId="14" fillId="2" borderId="16" xfId="1" applyFont="1" applyBorder="1" applyAlignment="1" applyProtection="1">
      <alignment horizontal="center" vertical="center"/>
      <protection locked="0"/>
    </xf>
    <xf numFmtId="0" fontId="14" fillId="2" borderId="13" xfId="1" applyFont="1" applyBorder="1" applyAlignment="1" applyProtection="1">
      <alignment horizontal="center" vertical="center"/>
      <protection locked="0"/>
    </xf>
    <xf numFmtId="0" fontId="15" fillId="3" borderId="14" xfId="2" applyFont="1" applyBorder="1" applyAlignment="1">
      <alignment horizontal="center" vertical="center"/>
    </xf>
    <xf numFmtId="0" fontId="15" fillId="3" borderId="12" xfId="2" applyFont="1" applyBorder="1" applyAlignment="1">
      <alignment horizontal="center" vertical="center"/>
    </xf>
    <xf numFmtId="0" fontId="16" fillId="5" borderId="9" xfId="4" applyFont="1" applyBorder="1" applyAlignment="1">
      <alignment horizontal="center" vertical="center"/>
    </xf>
    <xf numFmtId="164" fontId="16" fillId="5" borderId="10" xfId="4" applyNumberFormat="1" applyFont="1" applyBorder="1" applyAlignment="1">
      <alignment horizontal="left" vertical="center"/>
    </xf>
    <xf numFmtId="0" fontId="15" fillId="3" borderId="18" xfId="2" applyFont="1" applyBorder="1" applyAlignment="1">
      <alignment horizontal="center" vertical="center"/>
    </xf>
    <xf numFmtId="0" fontId="14" fillId="2" borderId="17" xfId="1" applyFont="1" applyBorder="1" applyAlignment="1" applyProtection="1">
      <alignment horizontal="center" vertical="center"/>
      <protection locked="0"/>
    </xf>
    <xf numFmtId="0" fontId="14" fillId="2" borderId="1" xfId="1" applyFont="1" applyAlignment="1" applyProtection="1">
      <alignment horizontal="center" vertical="center"/>
      <protection locked="0"/>
    </xf>
    <xf numFmtId="0" fontId="15" fillId="3" borderId="2" xfId="2" applyFont="1" applyAlignment="1">
      <alignment horizontal="center" vertical="center"/>
    </xf>
    <xf numFmtId="0" fontId="15" fillId="3" borderId="7" xfId="2" applyFont="1" applyBorder="1" applyAlignment="1">
      <alignment horizontal="center" vertical="center"/>
    </xf>
    <xf numFmtId="164" fontId="15" fillId="3" borderId="11" xfId="2" applyNumberFormat="1" applyFont="1" applyBorder="1" applyAlignment="1">
      <alignment horizontal="center" vertical="center"/>
    </xf>
    <xf numFmtId="0" fontId="15" fillId="3" borderId="19" xfId="2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 wrapText="1"/>
    </xf>
    <xf numFmtId="0" fontId="7" fillId="0" borderId="0" xfId="0" applyFont="1" applyProtection="1"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13" fillId="6" borderId="5" xfId="0" applyFont="1" applyFill="1" applyBorder="1" applyAlignment="1" applyProtection="1">
      <alignment horizontal="center" vertical="center" wrapText="1"/>
      <protection hidden="1"/>
    </xf>
    <xf numFmtId="0" fontId="17" fillId="0" borderId="0" xfId="0" applyFont="1" applyAlignment="1" applyProtection="1">
      <alignment horizontal="center"/>
      <protection hidden="1"/>
    </xf>
    <xf numFmtId="0" fontId="17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8" fillId="8" borderId="28" xfId="0" applyFont="1" applyFill="1" applyBorder="1" applyAlignment="1" applyProtection="1">
      <alignment horizontal="center" vertical="center" wrapText="1"/>
      <protection locked="0"/>
    </xf>
    <xf numFmtId="0" fontId="8" fillId="8" borderId="29" xfId="0" applyFont="1" applyFill="1" applyBorder="1" applyAlignment="1" applyProtection="1">
      <alignment horizontal="center" vertical="center" wrapText="1"/>
      <protection locked="0"/>
    </xf>
    <xf numFmtId="0" fontId="8" fillId="8" borderId="27" xfId="0" applyFont="1" applyFill="1" applyBorder="1" applyAlignment="1" applyProtection="1">
      <alignment horizontal="center" vertical="center" wrapText="1"/>
      <protection locked="0"/>
    </xf>
    <xf numFmtId="0" fontId="13" fillId="6" borderId="4" xfId="0" applyFont="1" applyFill="1" applyBorder="1" applyAlignment="1" applyProtection="1">
      <alignment horizontal="center" vertical="center" wrapText="1"/>
      <protection hidden="1"/>
    </xf>
    <xf numFmtId="0" fontId="13" fillId="6" borderId="0" xfId="0" applyFont="1" applyFill="1" applyAlignment="1" applyProtection="1">
      <alignment horizontal="center" vertical="center" wrapText="1"/>
      <protection hidden="1"/>
    </xf>
    <xf numFmtId="0" fontId="12" fillId="4" borderId="3" xfId="3" applyFont="1" applyAlignment="1" applyProtection="1">
      <alignment horizontal="center" vertical="center"/>
      <protection hidden="1"/>
    </xf>
    <xf numFmtId="0" fontId="10" fillId="3" borderId="32" xfId="6" applyFont="1" applyFill="1" applyBorder="1" applyAlignment="1" applyProtection="1">
      <alignment horizontal="center" vertical="center"/>
      <protection hidden="1"/>
    </xf>
    <xf numFmtId="0" fontId="10" fillId="3" borderId="33" xfId="6" applyFont="1" applyFill="1" applyBorder="1" applyAlignment="1" applyProtection="1">
      <alignment horizontal="center" vertical="center"/>
      <protection hidden="1"/>
    </xf>
    <xf numFmtId="0" fontId="10" fillId="3" borderId="34" xfId="6" applyFont="1" applyFill="1" applyBorder="1" applyAlignment="1" applyProtection="1">
      <alignment horizontal="center" vertical="center"/>
      <protection hidden="1"/>
    </xf>
    <xf numFmtId="0" fontId="10" fillId="3" borderId="35" xfId="6" applyFont="1" applyFill="1" applyBorder="1" applyAlignment="1" applyProtection="1">
      <alignment horizontal="center" vertical="center"/>
      <protection hidden="1"/>
    </xf>
  </cellXfs>
  <cellStyles count="7">
    <cellStyle name="إخراج" xfId="2" builtinId="21"/>
    <cellStyle name="إدخال" xfId="1" builtinId="20"/>
    <cellStyle name="الإجمالي" xfId="6" builtinId="25"/>
    <cellStyle name="تمييز1" xfId="4" builtinId="29"/>
    <cellStyle name="خلية تدقيق" xfId="3" builtinId="23"/>
    <cellStyle name="عادي" xfId="0" builtinId="0"/>
    <cellStyle name="عنوان 1" xfId="5" builtinId="16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Narrow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indexed="64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3F3F3F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3F3F3F"/>
        </left>
        <right style="thin">
          <color rgb="FF3F3F3F"/>
        </right>
        <top style="thin">
          <color rgb="FF3F3F3F"/>
        </top>
        <bottom style="thin">
          <color rgb="FF3F3F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3F3F3F"/>
        </right>
        <top style="thin">
          <color rgb="FF7F7F7F"/>
        </top>
        <bottom style="thin">
          <color rgb="FF7F7F7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 style="thin">
          <color rgb="FF7F7F7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7F7F7F"/>
        </right>
        <top style="thin">
          <color rgb="FF7F7F7F"/>
        </top>
        <bottom style="thin">
          <color rgb="FF7F7F7F"/>
        </bottom>
      </border>
      <protection locked="0" hidden="0"/>
    </dxf>
    <dxf>
      <border outline="0">
        <bottom style="thick">
          <color indexed="64"/>
        </bottom>
      </border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5B0F00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fill>
        <patternFill>
          <bgColor rgb="FFEB7D7D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auto="1"/>
          <bgColor theme="9" tint="0.59996337778862885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auto="1"/>
          <bgColor rgb="FFFF8989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10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D1C"/>
        <name val="Arial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C1D1C"/>
        <name val="Arial"/>
        <family val="2"/>
        <scheme val="none"/>
      </font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1" hidden="1"/>
    </dxf>
  </dxfs>
  <tableStyles count="0" defaultTableStyle="TableStyleMedium2" defaultPivotStyle="PivotStyleLight16"/>
  <colors>
    <mruColors>
      <color rgb="FFEB7D7D"/>
      <color rgb="FFFF8989"/>
      <color rgb="FFFF5050"/>
      <color rgb="FFFF9966"/>
      <color rgb="FFCCCC00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A2C09A-5543-474A-95ED-2D55EC446291}" name="الجدول1" displayName="الجدول1" ref="B13:K73" totalsRowShown="0" headerRowDxfId="13" dataDxfId="12" headerRowBorderDxfId="10" tableBorderDxfId="11">
  <autoFilter ref="B13:K73" xr:uid="{47A2C09A-5543-474A-95ED-2D55EC44629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82CA759-F300-414B-80D2-76C8E4DEACE4}" name="S.No" dataDxfId="9"/>
    <tableColumn id="2" xr3:uid="{C4ECB9F1-B1F9-46C3-BDC9-3E4E21152772}" name="Back _x000a_Sight" dataDxfId="8"/>
    <tableColumn id="3" xr3:uid="{48ED4567-C2BC-4B88-A898-5B7AFAB12872}" name="Inter_x000a_Sight" dataDxfId="7"/>
    <tableColumn id="4" xr3:uid="{DF0FC276-E2DC-4E1C-A51C-4248B7F25802}" name="Fore _x000a_Sight" dataDxfId="6"/>
    <tableColumn id="5" xr3:uid="{25AF0994-18B0-42E6-A5A3-77F88C2FF1E0}" name="H.L.S" dataDxfId="5">
      <calculatedColumnFormula>IF(C14="","",O14)</calculatedColumnFormula>
    </tableColumn>
    <tableColumn id="6" xr3:uid="{F32DD88C-F1BA-4C89-B5A7-F15F72088BC2}" name="P.H" dataDxfId="4">
      <calculatedColumnFormula>D6</calculatedColumnFormula>
    </tableColumn>
    <tableColumn id="7" xr3:uid="{6E71039D-B29F-4163-953E-4568D868990D}" name="Point_x000a_No" dataDxfId="3">
      <calculatedColumnFormula>IF(COUNT(B14:E14)&gt;1,B14,IF(I14&lt;&gt;"",COUNT($H$13:H13)+1,""))</calculatedColumnFormula>
    </tableColumn>
    <tableColumn id="8" xr3:uid="{4039198C-A1FB-4EEA-A3F6-C54660B760EF}" name="DEF (+) (-)_x000a_H.L.S" dataDxfId="2">
      <calculatedColumnFormula>IF(COUNT(C14:E14)&gt;0,U14,"")</calculatedColumnFormula>
    </tableColumn>
    <tableColumn id="9" xr3:uid="{FC063C28-5E9F-441A-A7C2-A45800669EBC}" name="DEF  TO PO" dataDxfId="1">
      <calculatedColumnFormula>IF(B14&lt;&gt;"",C13+D13-D14-E14,"")</calculatedColumnFormula>
    </tableColumn>
    <tableColumn id="10" xr3:uid="{BD5E806B-C2E4-42FF-BB7D-14AAEBC78285}" name="NOTE" dataDxfId="0">
      <calculatedColumnFormula>Z14</calculatedColumnFormula>
    </tableColumn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BAB487-3724-48BC-83EA-480A22CD1FA5}" name="الجدول2" displayName="الجدول2" ref="O13:AC73" totalsRowShown="0" headerRowDxfId="34" dataDxfId="33">
  <autoFilter ref="O13:AC73" xr:uid="{24BAB487-3724-48BC-83EA-480A22CD1FA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D9C51475-04A0-41F0-B74E-9A393F55B4E3}" name="م س م" dataDxfId="32">
      <calculatedColumnFormula>P14+D14+C14</calculatedColumnFormula>
    </tableColumn>
    <tableColumn id="2" xr3:uid="{5F294D93-F6F4-46C9-A443-E673437FB93C}" name="م ن خ" dataDxfId="31">
      <calculatedColumnFormula>O13-D14-E14</calculatedColumnFormula>
    </tableColumn>
    <tableColumn id="3" xr3:uid="{901CBAC0-8691-4A03-8EBB-BA2F8ED2E430}" name="1" dataDxfId="30"/>
    <tableColumn id="4" xr3:uid="{2058AAE4-9C8E-49A7-B4B9-2EC71154CDF0}" name="م س م2" dataDxfId="29">
      <calculatedColumnFormula>IF(C14="",R13,F14)</calculatedColumnFormula>
    </tableColumn>
    <tableColumn id="5" xr3:uid="{926C5E72-661A-4FA0-A733-E34E43DB6111}" name="2" dataDxfId="28">
      <calculatedColumnFormula>IF(C14="",S13,C14)</calculatedColumnFormula>
    </tableColumn>
    <tableColumn id="6" xr3:uid="{30B88902-F62D-474A-8C07-31D7DB57CB71}" name="3" dataDxfId="27">
      <calculatedColumnFormula>IF(R14&lt;&gt;"",R14-S14,"")</calculatedColumnFormula>
    </tableColumn>
    <tableColumn id="7" xr3:uid="{5B4BF8C2-9D57-4ECD-B1CD-A79FB3068625}" name="4" dataDxfId="26">
      <calculatedColumnFormula>IF(P14&lt;&gt;"",P14-T13,"")</calculatedColumnFormula>
    </tableColumn>
    <tableColumn id="8" xr3:uid="{01205DB6-4E33-4A83-8F12-2A01C8F4FDB9}" name="5" dataDxfId="25">
      <calculatedColumnFormula array="1">IF(I14&lt;&gt;"",_xlfn.IFS(U14&gt;0,"CUT",U14&lt;0,"FALL"),"")</calculatedColumnFormula>
    </tableColumn>
    <tableColumn id="9" xr3:uid="{E436B4C3-5602-40C8-B157-9BD94E750DE6}" name="name" dataDxfId="24">
      <calculatedColumnFormula>IF(SUM(C14)&lt;&gt;0,"Turning Point","")</calculatedColumnFormula>
    </tableColumn>
    <tableColumn id="10" xr3:uid="{8530A4CB-3173-43D5-A79A-B8C2D747BD4D}" name="6" dataDxfId="23">
      <calculatedColumnFormula>IF(COUNT(C14:E14)&lt;&gt;0,COUNT(B$13:$B13)+1,"")</calculatedColumnFormula>
    </tableColumn>
    <tableColumn id="11" xr3:uid="{AB372EDD-E6E4-4F8F-8460-4E37BEBA7136}" name="no" dataDxfId="22">
      <calculatedColumnFormula>IF(W14="Turning Point",COUNT(Y$13:$Y13)+1,"")</calculatedColumnFormula>
    </tableColumn>
    <tableColumn id="12" xr3:uid="{23CC1019-8A03-487B-B031-26D7A7161B0B}" name="final" dataDxfId="21">
      <calculatedColumnFormula>IF(AC14&lt;&gt;"",AC14,IF(X14&lt;&gt;"",CONCATENATE(W14," ",Y14),""))</calculatedColumnFormula>
    </tableColumn>
    <tableColumn id="13" xr3:uid="{840C82C6-C85C-4971-8227-52A7C6F46BC8}" name="7" dataDxfId="20"/>
    <tableColumn id="14" xr3:uid="{B11DB935-2437-4DC7-A3FA-FAFC1FAAB7DA}" name="8" dataDxfId="19">
      <calculatedColumnFormula>IF(E14&lt;&gt;"",COUNTIF(W$13:$W14,"Turning Point"),"")</calculatedColumnFormula>
    </tableColumn>
    <tableColumn id="15" xr3:uid="{4ECC30C6-5A42-4257-9D70-E3A13C811A3E}" name="9" dataDxfId="18">
      <calculatedColumnFormula>IF(E14&lt;&gt;"",IF(AB14=$AA$14,IF(Y14&lt;&gt;"","","end"),""),"")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B86B3-DC40-4689-8AE7-D8DE98413FBD}">
  <sheetPr codeName="Worksheet____1"/>
  <dimension ref="A1:XFC452"/>
  <sheetViews>
    <sheetView tabSelected="1" topLeftCell="A4" zoomScale="85" zoomScaleNormal="85" workbookViewId="0">
      <selection activeCell="J15" sqref="J15"/>
    </sheetView>
  </sheetViews>
  <sheetFormatPr defaultColWidth="7.85546875" defaultRowHeight="20.25" customHeight="1" x14ac:dyDescent="0.25"/>
  <cols>
    <col min="1" max="1" width="3.42578125" style="1" customWidth="1"/>
    <col min="2" max="2" width="9.5703125" style="1" customWidth="1"/>
    <col min="3" max="5" width="11.28515625" style="1" customWidth="1"/>
    <col min="6" max="6" width="14.42578125" style="1" customWidth="1"/>
    <col min="7" max="7" width="13" style="1" customWidth="1"/>
    <col min="8" max="8" width="9.7109375" style="1" customWidth="1"/>
    <col min="9" max="9" width="16.140625" style="34" customWidth="1"/>
    <col min="10" max="10" width="16" style="2" customWidth="1"/>
    <col min="11" max="11" width="17.28515625" style="1" customWidth="1"/>
    <col min="12" max="12" width="31.42578125" style="3" customWidth="1"/>
    <col min="13" max="14" width="7.85546875" style="36" hidden="1" customWidth="1"/>
    <col min="15" max="34" width="7.85546875" style="37" hidden="1" customWidth="1"/>
    <col min="35" max="16383" width="21.140625" style="37" hidden="1" customWidth="1"/>
    <col min="16384" max="16384" width="7.85546875" style="37" hidden="1" customWidth="1"/>
  </cols>
  <sheetData>
    <row r="1" spans="1:38" ht="14.25" thickBot="1" x14ac:dyDescent="0.3">
      <c r="I1" s="1"/>
    </row>
    <row r="2" spans="1:38" ht="21.75" customHeight="1" thickTop="1" thickBot="1" x14ac:dyDescent="0.3">
      <c r="B2" s="4" t="s">
        <v>21</v>
      </c>
      <c r="C2" s="42"/>
      <c r="D2" s="43"/>
      <c r="E2" s="44"/>
      <c r="F2" s="6"/>
      <c r="I2" s="4" t="s">
        <v>40</v>
      </c>
      <c r="J2" s="5" t="s">
        <v>41</v>
      </c>
      <c r="AE2" s="36"/>
      <c r="AF2" s="36"/>
      <c r="AG2" s="36"/>
      <c r="AH2" s="36"/>
      <c r="AI2" s="36"/>
      <c r="AJ2" s="36"/>
      <c r="AK2" s="36"/>
      <c r="AL2" s="36"/>
    </row>
    <row r="3" spans="1:38" ht="21.75" customHeight="1" thickTop="1" thickBot="1" x14ac:dyDescent="0.3">
      <c r="B3" s="4" t="s">
        <v>22</v>
      </c>
      <c r="C3" s="42"/>
      <c r="D3" s="43"/>
      <c r="E3" s="44"/>
      <c r="F3" s="6"/>
      <c r="I3" s="4" t="s">
        <v>23</v>
      </c>
      <c r="J3" s="5"/>
      <c r="AE3" s="36"/>
      <c r="AF3" s="36"/>
      <c r="AG3" s="36"/>
      <c r="AH3" s="36"/>
      <c r="AI3" s="36"/>
      <c r="AJ3" s="36"/>
      <c r="AK3" s="36"/>
      <c r="AL3" s="36"/>
    </row>
    <row r="4" spans="1:38" ht="21.75" customHeight="1" thickTop="1" thickBot="1" x14ac:dyDescent="0.3">
      <c r="B4" s="4" t="s">
        <v>24</v>
      </c>
      <c r="C4" s="42"/>
      <c r="D4" s="43"/>
      <c r="E4" s="44"/>
      <c r="F4" s="6"/>
      <c r="I4" s="6"/>
      <c r="AE4" s="41"/>
      <c r="AF4" s="41"/>
      <c r="AG4" s="41"/>
      <c r="AH4" s="41"/>
      <c r="AI4" s="36"/>
      <c r="AJ4" s="36"/>
      <c r="AK4" s="36"/>
      <c r="AL4" s="36"/>
    </row>
    <row r="5" spans="1:38" ht="21.75" customHeight="1" thickTop="1" thickBot="1" x14ac:dyDescent="0.3">
      <c r="B5" s="6"/>
      <c r="C5" s="6"/>
      <c r="D5" s="6"/>
      <c r="E5" s="6"/>
      <c r="F5" s="6"/>
      <c r="I5" s="7" t="s">
        <v>25</v>
      </c>
      <c r="J5" s="35">
        <f>S9-D7</f>
        <v>46.958999999999996</v>
      </c>
      <c r="AE5" s="41"/>
      <c r="AF5" s="41"/>
      <c r="AG5" s="41"/>
      <c r="AH5" s="41"/>
      <c r="AI5" s="36"/>
      <c r="AJ5" s="36"/>
      <c r="AK5" s="36"/>
      <c r="AL5" s="36"/>
    </row>
    <row r="6" spans="1:38" ht="21.75" customHeight="1" thickTop="1" thickBot="1" x14ac:dyDescent="0.3">
      <c r="B6" s="6"/>
      <c r="C6" s="9" t="s">
        <v>28</v>
      </c>
      <c r="D6" s="8">
        <v>45.566000000000003</v>
      </c>
      <c r="E6" s="6"/>
      <c r="F6" s="6"/>
      <c r="I6" s="7" t="s">
        <v>26</v>
      </c>
      <c r="J6" s="35">
        <f>AA14</f>
        <v>2</v>
      </c>
      <c r="AE6" s="41"/>
      <c r="AF6" s="41"/>
      <c r="AG6" s="41"/>
      <c r="AH6" s="41"/>
      <c r="AI6" s="36"/>
      <c r="AJ6" s="36"/>
      <c r="AK6" s="36"/>
      <c r="AL6" s="36"/>
    </row>
    <row r="7" spans="1:38" ht="21.75" customHeight="1" thickTop="1" thickBot="1" x14ac:dyDescent="0.3">
      <c r="B7" s="6"/>
      <c r="C7" s="9" t="s">
        <v>29</v>
      </c>
      <c r="D7" s="8"/>
      <c r="E7" s="6"/>
      <c r="F7" s="6"/>
      <c r="I7" s="7" t="s">
        <v>27</v>
      </c>
      <c r="J7" s="35">
        <f>IFERROR(J5/J6,"---")</f>
        <v>23.479499999999998</v>
      </c>
      <c r="AE7" s="36"/>
      <c r="AF7" s="36"/>
      <c r="AG7" s="36"/>
      <c r="AH7" s="36"/>
      <c r="AI7" s="36"/>
      <c r="AJ7" s="36"/>
      <c r="AK7" s="36"/>
      <c r="AL7" s="36"/>
    </row>
    <row r="8" spans="1:38" ht="23.25" customHeight="1" thickTop="1" thickBot="1" x14ac:dyDescent="0.3">
      <c r="I8" s="1"/>
      <c r="AE8" s="36"/>
      <c r="AF8" s="36"/>
      <c r="AG8" s="36"/>
      <c r="AH8" s="36"/>
      <c r="AI8" s="36"/>
      <c r="AJ8" s="36"/>
      <c r="AK8" s="36"/>
      <c r="AL8" s="36"/>
    </row>
    <row r="9" spans="1:38" ht="23.25" customHeight="1" thickTop="1" thickBot="1" x14ac:dyDescent="0.3">
      <c r="C9" s="48" t="s">
        <v>0</v>
      </c>
      <c r="D9" s="49"/>
      <c r="E9" s="49"/>
      <c r="F9" s="49"/>
      <c r="G9" s="10">
        <f>ABS(ROUND(R9,4))</f>
        <v>1.393</v>
      </c>
      <c r="I9" s="1"/>
      <c r="O9" s="47" t="s">
        <v>0</v>
      </c>
      <c r="P9" s="47"/>
      <c r="Q9" s="47"/>
      <c r="R9" s="11" cm="1">
        <f t="array" ref="R9">INDEX(P:P,MAX((P:P&lt;&gt;"")*ROW(P:P)))-P14</f>
        <v>1.3929999999999936</v>
      </c>
      <c r="S9" s="37" cm="1">
        <f t="array" ref="S9">INDEX(P:P,MAX((P:P&lt;&gt;"")*ROW(P:P)))</f>
        <v>46.958999999999996</v>
      </c>
    </row>
    <row r="10" spans="1:38" ht="23.25" customHeight="1" thickTop="1" thickBot="1" x14ac:dyDescent="0.3">
      <c r="C10" s="50" t="s">
        <v>1</v>
      </c>
      <c r="D10" s="51"/>
      <c r="E10" s="51"/>
      <c r="F10" s="51"/>
      <c r="G10" s="12">
        <f>ABS(ROUND(R10,4))</f>
        <v>1.393</v>
      </c>
      <c r="I10" s="1"/>
      <c r="O10" s="47" t="s">
        <v>1</v>
      </c>
      <c r="P10" s="47"/>
      <c r="Q10" s="47"/>
      <c r="R10" s="11">
        <f>SUM(C14:C908)-SUM(E14:E908)</f>
        <v>1.3930000000000007</v>
      </c>
    </row>
    <row r="11" spans="1:38" s="36" customFormat="1" ht="23.25" customHeight="1" thickTop="1" x14ac:dyDescent="0.25">
      <c r="A11" s="3"/>
      <c r="B11" s="3"/>
      <c r="C11" s="3"/>
      <c r="D11" s="3"/>
      <c r="E11" s="3"/>
      <c r="F11" s="3"/>
      <c r="G11" s="3"/>
      <c r="H11" s="3"/>
      <c r="I11" s="3"/>
      <c r="J11" s="13"/>
      <c r="K11" s="3"/>
      <c r="L11" s="3"/>
    </row>
    <row r="12" spans="1:38" ht="23.25" customHeight="1" thickBot="1" x14ac:dyDescent="0.3">
      <c r="I12" s="1"/>
      <c r="Q12" s="45" t="s">
        <v>2</v>
      </c>
      <c r="R12" s="46"/>
      <c r="S12" s="46"/>
      <c r="T12" s="46"/>
      <c r="W12" s="45" t="s">
        <v>3</v>
      </c>
      <c r="X12" s="46"/>
    </row>
    <row r="13" spans="1:38" ht="34.5" customHeight="1" thickTop="1" thickBot="1" x14ac:dyDescent="0.3">
      <c r="B13" s="14" t="s">
        <v>3</v>
      </c>
      <c r="C13" s="15" t="s">
        <v>5</v>
      </c>
      <c r="D13" s="16" t="s">
        <v>6</v>
      </c>
      <c r="E13" s="14" t="s">
        <v>7</v>
      </c>
      <c r="F13" s="15" t="s">
        <v>8</v>
      </c>
      <c r="G13" s="15" t="s">
        <v>9</v>
      </c>
      <c r="H13" s="14" t="s">
        <v>4</v>
      </c>
      <c r="I13" s="15" t="s">
        <v>19</v>
      </c>
      <c r="J13" s="17" t="s">
        <v>20</v>
      </c>
      <c r="K13" s="18" t="s">
        <v>10</v>
      </c>
      <c r="O13" s="38" t="s">
        <v>11</v>
      </c>
      <c r="P13" s="38" t="s">
        <v>12</v>
      </c>
      <c r="Q13" s="37" t="s">
        <v>31</v>
      </c>
      <c r="R13" s="38" t="s">
        <v>30</v>
      </c>
      <c r="S13" s="37" t="s">
        <v>32</v>
      </c>
      <c r="T13" s="37" t="s">
        <v>33</v>
      </c>
      <c r="U13" s="37" t="s">
        <v>34</v>
      </c>
      <c r="V13" s="37" t="s">
        <v>35</v>
      </c>
      <c r="W13" s="37" t="s">
        <v>15</v>
      </c>
      <c r="X13" s="37" t="s">
        <v>36</v>
      </c>
      <c r="Y13" s="37" t="s">
        <v>14</v>
      </c>
      <c r="Z13" s="37" t="s">
        <v>16</v>
      </c>
      <c r="AA13" s="37" t="s">
        <v>37</v>
      </c>
      <c r="AB13" s="37" t="s">
        <v>38</v>
      </c>
      <c r="AC13" s="37" t="s">
        <v>39</v>
      </c>
      <c r="AJ13" s="37" t="s">
        <v>13</v>
      </c>
    </row>
    <row r="14" spans="1:38" ht="20.25" customHeight="1" thickTop="1" x14ac:dyDescent="0.25">
      <c r="B14" s="19" t="s">
        <v>42</v>
      </c>
      <c r="C14" s="20">
        <v>2.7280000000000002</v>
      </c>
      <c r="D14" s="20"/>
      <c r="E14" s="20"/>
      <c r="F14" s="21">
        <f t="shared" ref="F14:F45" si="0">IF(C14="","",O14)</f>
        <v>48.294000000000004</v>
      </c>
      <c r="G14" s="20">
        <f>D6</f>
        <v>45.566000000000003</v>
      </c>
      <c r="H14" s="22">
        <f>IF(COUNT(B14:E14)&gt;1,B14,IF(I14&lt;&gt;"",COUNT($H$13:H13)+1,""))</f>
        <v>1</v>
      </c>
      <c r="I14" s="23" t="s">
        <v>18</v>
      </c>
      <c r="J14" s="24"/>
      <c r="K14" s="25" t="str">
        <f>Z14</f>
        <v>Turning Point 1</v>
      </c>
      <c r="O14" s="39">
        <f>P14+C14</f>
        <v>48.294000000000004</v>
      </c>
      <c r="P14" s="37">
        <f>G14</f>
        <v>45.566000000000003</v>
      </c>
      <c r="R14" s="37">
        <f>IF(C14&lt;&gt;0,F14,"")</f>
        <v>48.294000000000004</v>
      </c>
      <c r="S14" s="37">
        <f>IF(C14&lt;&gt;0,C14,"")</f>
        <v>2.7280000000000002</v>
      </c>
      <c r="T14" s="37">
        <f>IF(R14&lt;&gt;"",R14-S14,"")</f>
        <v>45.566000000000003</v>
      </c>
      <c r="U14" s="37">
        <v>0</v>
      </c>
      <c r="V14" s="37" t="s">
        <v>17</v>
      </c>
      <c r="W14" s="37" t="str">
        <f>IF(SUM(C14)&lt;&gt;0,"Turning Point",IF(E14&lt;&gt;"",IF(AB14=$AA$14,IF(Y14&lt;&gt;"","","end"),""),""))</f>
        <v>Turning Point</v>
      </c>
      <c r="X14" s="37">
        <f>IF(COUNT(C14:E14)&lt;&gt;0,COUNT(B13:$B$13)+1,"")</f>
        <v>1</v>
      </c>
      <c r="Y14" s="37">
        <f>IF(W14="Turning Point",COUNT(Y13:$Y$13)+1,"")</f>
        <v>1</v>
      </c>
      <c r="Z14" s="37" t="str">
        <f>IF(AC14&lt;&gt;"",AC14,IF(X14&lt;&gt;"",CONCATENATE(W14," ",Y14),""))</f>
        <v>Turning Point 1</v>
      </c>
      <c r="AA14" s="37">
        <f>COUNT(Y14:Y73)</f>
        <v>2</v>
      </c>
      <c r="AB14" s="37" t="str">
        <f>IF(E14&lt;&gt;"",COUNTIF(W$13:$W14,"Turning Point")-1,"")</f>
        <v/>
      </c>
      <c r="AC14" s="37" t="str">
        <f>IF(E14&lt;&gt;"",IF(AB14=$AA$14,IF(Y14&lt;&gt;"","","end"),""),"")</f>
        <v/>
      </c>
    </row>
    <row r="15" spans="1:38" ht="20.25" customHeight="1" x14ac:dyDescent="0.25">
      <c r="B15" s="26" t="s">
        <v>43</v>
      </c>
      <c r="C15" s="27"/>
      <c r="D15" s="27">
        <v>1.825</v>
      </c>
      <c r="E15" s="27"/>
      <c r="F15" s="28" t="str">
        <f t="shared" si="0"/>
        <v/>
      </c>
      <c r="G15" s="28">
        <f>IF(AND(C15="",D15="",E15=""),"",P15)</f>
        <v>46.469000000000001</v>
      </c>
      <c r="H15" s="22">
        <f>IF(COUNT(B15:E15)&gt;1,B15,IF(I15&lt;&gt;"",COUNT($H$13:H14)+1,""))</f>
        <v>2</v>
      </c>
      <c r="I15" s="29">
        <f>IF(COUNT(C15:E15)&gt;0,U15,"")</f>
        <v>0.90299999999999869</v>
      </c>
      <c r="J15" s="30">
        <f>IF(COUNT(C15:E15,H15)&gt;1,C14+D14-D15-E15,"")</f>
        <v>0.90300000000000025</v>
      </c>
      <c r="K15" s="31" t="str">
        <f>Z15</f>
        <v xml:space="preserve"> </v>
      </c>
      <c r="L15" s="3" t="b">
        <f>IF(COUNT(J15)&gt;0,TRUE,FALSE)</f>
        <v>1</v>
      </c>
      <c r="O15" s="40">
        <f>P15+D15+C15</f>
        <v>48.294000000000004</v>
      </c>
      <c r="P15" s="40">
        <f>O14-D15-E15</f>
        <v>46.469000000000001</v>
      </c>
      <c r="R15" s="37">
        <f t="shared" ref="R15:R46" si="1">IF(C15="",R14,F15)</f>
        <v>48.294000000000004</v>
      </c>
      <c r="S15" s="37">
        <f t="shared" ref="S15:S46" si="2">IF(C15="",S14,C15)</f>
        <v>2.7280000000000002</v>
      </c>
      <c r="T15" s="37">
        <f t="shared" ref="T15:T73" si="3">IF(R15&lt;&gt;"",R15-S15,"")</f>
        <v>45.566000000000003</v>
      </c>
      <c r="U15" s="37">
        <f t="shared" ref="U15:U73" si="4">IF(P15&lt;&gt;"",P15-T14,"")</f>
        <v>0.90299999999999869</v>
      </c>
      <c r="V15" s="37" t="str" cm="1">
        <f t="array" ref="V15">IF(I15&lt;&gt;"",_xlfn.IFS(U15&gt;0,"CUT",U15&lt;0,"FALL"),"")</f>
        <v>CUT</v>
      </c>
      <c r="W15" s="37" t="str">
        <f t="shared" ref="W15:W73" si="5">IF(SUM(C15)&lt;&gt;0,"Turning Point","")</f>
        <v/>
      </c>
      <c r="X15" s="37">
        <f>IF(COUNT(C15:E15)&lt;&gt;0,COUNT(B$13:$B14)+1,"")</f>
        <v>1</v>
      </c>
      <c r="Y15" s="37" t="str">
        <f>IF(W15="Turning Point",COUNT(Y$13:$Y14)+1,"")</f>
        <v/>
      </c>
      <c r="Z15" s="37" t="str">
        <f t="shared" ref="Z15:Z73" si="6">IF(AC15&lt;&gt;"",AC15,IF(X15&lt;&gt;"",CONCATENATE(W15," ",Y15),""))</f>
        <v xml:space="preserve"> </v>
      </c>
      <c r="AB15" s="37" t="str">
        <f>IF(E15&lt;&gt;"",COUNTIF(W$13:$W15,"Turning Point"),"")</f>
        <v/>
      </c>
      <c r="AC15" s="37" t="str">
        <f>IF(E15&lt;&gt;"",IF(AB15=$AA$14,IF(Y15&lt;&gt;"","","end"),""),"")</f>
        <v/>
      </c>
    </row>
    <row r="16" spans="1:38" ht="20.25" customHeight="1" x14ac:dyDescent="0.25">
      <c r="B16" s="26" t="s">
        <v>44</v>
      </c>
      <c r="C16" s="27"/>
      <c r="D16" s="27">
        <v>1.64</v>
      </c>
      <c r="E16" s="27"/>
      <c r="F16" s="28" t="str">
        <f t="shared" si="0"/>
        <v/>
      </c>
      <c r="G16" s="28">
        <f t="shared" ref="G16:G46" si="7">IF(AND(C16="",D16="",E16=""),"",P16)</f>
        <v>46.654000000000003</v>
      </c>
      <c r="H16" s="22">
        <f>IF(COUNT(B16:E16)&gt;1,B16,IF(I16&lt;&gt;"",COUNT($H$13:H15)+1,""))</f>
        <v>3</v>
      </c>
      <c r="I16" s="29">
        <f t="shared" ref="I16:I46" si="8">IF(COUNT(C16:E16)&gt;0,U16,"")</f>
        <v>1.088000000000001</v>
      </c>
      <c r="J16" s="30">
        <f>IF(COUNT(C16:E16,H16)&gt;1,C15+D15-D16-E16,"")</f>
        <v>0.18500000000000005</v>
      </c>
      <c r="K16" s="31" t="str">
        <f t="shared" ref="K16:K73" si="9">Z16</f>
        <v xml:space="preserve"> </v>
      </c>
      <c r="O16" s="40">
        <f t="shared" ref="O16:O46" si="10">P16+D16+C16</f>
        <v>48.294000000000004</v>
      </c>
      <c r="P16" s="40">
        <f t="shared" ref="P16:P46" si="11">O15-D16-E16</f>
        <v>46.654000000000003</v>
      </c>
      <c r="R16" s="37">
        <f t="shared" si="1"/>
        <v>48.294000000000004</v>
      </c>
      <c r="S16" s="37">
        <f t="shared" si="2"/>
        <v>2.7280000000000002</v>
      </c>
      <c r="T16" s="37">
        <f t="shared" si="3"/>
        <v>45.566000000000003</v>
      </c>
      <c r="U16" s="37">
        <f t="shared" si="4"/>
        <v>1.088000000000001</v>
      </c>
      <c r="V16" s="37" t="str" cm="1">
        <f t="array" ref="V16">IF(I16&lt;&gt;"",_xlfn.IFS(U16&gt;0,"CUT",U16&lt;0,"FALL"),"")</f>
        <v>CUT</v>
      </c>
      <c r="W16" s="37" t="str">
        <f t="shared" si="5"/>
        <v/>
      </c>
      <c r="X16" s="37">
        <f>IF(COUNT(C16:E16)&lt;&gt;0,COUNT(B$13:$B15)+1,"")</f>
        <v>1</v>
      </c>
      <c r="Y16" s="37" t="str">
        <f>IF(W16="Turning Point",COUNT(Y$13:$Y15)+1,"")</f>
        <v/>
      </c>
      <c r="Z16" s="37" t="str">
        <f t="shared" si="6"/>
        <v xml:space="preserve"> </v>
      </c>
      <c r="AB16" s="37" t="str">
        <f>IF(E16&lt;&gt;"",COUNTIF(W$13:$W16,"Turning Point"),"")</f>
        <v/>
      </c>
      <c r="AC16" s="37" t="str">
        <f t="shared" ref="AC16:AC73" si="12">IF(E16&lt;&gt;"",IF(AB16=$AA$14,IF(Y16&lt;&gt;"","","end"),""),"")</f>
        <v/>
      </c>
    </row>
    <row r="17" spans="2:29" ht="20.25" customHeight="1" x14ac:dyDescent="0.25">
      <c r="B17" s="19" t="s">
        <v>45</v>
      </c>
      <c r="C17" s="27">
        <v>1.175</v>
      </c>
      <c r="D17" s="27"/>
      <c r="E17" s="27">
        <v>1.42</v>
      </c>
      <c r="F17" s="28">
        <f t="shared" si="0"/>
        <v>48.048999999999999</v>
      </c>
      <c r="G17" s="28">
        <f t="shared" si="7"/>
        <v>46.874000000000002</v>
      </c>
      <c r="H17" s="22" t="str">
        <f>IF(COUNT(B17:E17)&gt;1,B17,IF(I17&lt;&gt;"",COUNT($H$13:H16)+1,""))</f>
        <v>g1</v>
      </c>
      <c r="I17" s="29">
        <f t="shared" si="8"/>
        <v>1.3079999999999998</v>
      </c>
      <c r="J17" s="30">
        <f t="shared" ref="J17:J73" si="13">IF(COUNT(C17:E17,H17)&gt;1,C16+D16-D17-E17,"")</f>
        <v>0.21999999999999997</v>
      </c>
      <c r="K17" s="31" t="str">
        <f t="shared" si="9"/>
        <v>Turning Point 2</v>
      </c>
      <c r="O17" s="40">
        <f t="shared" si="10"/>
        <v>48.048999999999999</v>
      </c>
      <c r="P17" s="40">
        <f t="shared" si="11"/>
        <v>46.874000000000002</v>
      </c>
      <c r="R17" s="37">
        <f t="shared" si="1"/>
        <v>48.048999999999999</v>
      </c>
      <c r="S17" s="37">
        <f t="shared" si="2"/>
        <v>1.175</v>
      </c>
      <c r="T17" s="37">
        <f t="shared" si="3"/>
        <v>46.874000000000002</v>
      </c>
      <c r="U17" s="37">
        <f t="shared" si="4"/>
        <v>1.3079999999999998</v>
      </c>
      <c r="V17" s="37" t="str" cm="1">
        <f t="array" ref="V17">IF(I17&lt;&gt;"",_xlfn.IFS(U17&gt;0,"CUT",U17&lt;0,"FALL"),"")</f>
        <v>CUT</v>
      </c>
      <c r="W17" s="37" t="str">
        <f t="shared" si="5"/>
        <v>Turning Point</v>
      </c>
      <c r="X17" s="37">
        <f>IF(COUNT(C17:E17)&lt;&gt;0,COUNT(B$13:$B16)+1,"")</f>
        <v>1</v>
      </c>
      <c r="Y17" s="37">
        <f>IF(W17="Turning Point",COUNT(Y$13:$Y16)+1,"")</f>
        <v>2</v>
      </c>
      <c r="Z17" s="37" t="str">
        <f t="shared" si="6"/>
        <v>Turning Point 2</v>
      </c>
      <c r="AB17" s="37">
        <f>IF(E17&lt;&gt;"",COUNTIF(W$13:$W17,"Turning Point"),"")</f>
        <v>2</v>
      </c>
      <c r="AC17" s="37" t="str">
        <f t="shared" si="12"/>
        <v/>
      </c>
    </row>
    <row r="18" spans="2:29" ht="20.25" customHeight="1" x14ac:dyDescent="0.25">
      <c r="B18" s="26" t="s">
        <v>46</v>
      </c>
      <c r="C18" s="27"/>
      <c r="D18" s="27">
        <v>1.393</v>
      </c>
      <c r="E18" s="27"/>
      <c r="F18" s="28" t="str">
        <f t="shared" si="0"/>
        <v/>
      </c>
      <c r="G18" s="28">
        <f t="shared" si="7"/>
        <v>46.655999999999999</v>
      </c>
      <c r="H18" s="22">
        <f>IF(COUNT(B18:E18)&gt;1,B18,IF(I18&lt;&gt;"",COUNT($H$13:H17)+1,""))</f>
        <v>4</v>
      </c>
      <c r="I18" s="29">
        <f t="shared" si="8"/>
        <v>-0.21800000000000352</v>
      </c>
      <c r="J18" s="30">
        <f t="shared" si="13"/>
        <v>-0.21799999999999997</v>
      </c>
      <c r="K18" s="31" t="str">
        <f t="shared" si="9"/>
        <v xml:space="preserve"> </v>
      </c>
      <c r="O18" s="40">
        <f t="shared" si="10"/>
        <v>48.048999999999999</v>
      </c>
      <c r="P18" s="40">
        <f t="shared" si="11"/>
        <v>46.655999999999999</v>
      </c>
      <c r="R18" s="37">
        <f t="shared" si="1"/>
        <v>48.048999999999999</v>
      </c>
      <c r="S18" s="37">
        <f t="shared" si="2"/>
        <v>1.175</v>
      </c>
      <c r="T18" s="37">
        <f t="shared" si="3"/>
        <v>46.874000000000002</v>
      </c>
      <c r="U18" s="37">
        <f t="shared" si="4"/>
        <v>-0.21800000000000352</v>
      </c>
      <c r="V18" s="37" t="str" cm="1">
        <f t="array" ref="V18">IF(I18&lt;&gt;"",_xlfn.IFS(U18&gt;0,"CUT",U18&lt;0,"FALL"),"")</f>
        <v>FALL</v>
      </c>
      <c r="W18" s="37" t="str">
        <f t="shared" si="5"/>
        <v/>
      </c>
      <c r="X18" s="37">
        <f>IF(COUNT(C18:E18)&lt;&gt;0,COUNT(B$13:$B17)+1,"")</f>
        <v>1</v>
      </c>
      <c r="Y18" s="37" t="str">
        <f>IF(W18="Turning Point",COUNT(Y$13:$Y17)+1,"")</f>
        <v/>
      </c>
      <c r="Z18" s="37" t="str">
        <f t="shared" si="6"/>
        <v xml:space="preserve"> </v>
      </c>
      <c r="AB18" s="37" t="str">
        <f>IF(E18&lt;&gt;"",COUNTIF(W$13:$W18,"Turning Point"),"")</f>
        <v/>
      </c>
      <c r="AC18" s="37" t="str">
        <f t="shared" si="12"/>
        <v/>
      </c>
    </row>
    <row r="19" spans="2:29" ht="20.25" customHeight="1" x14ac:dyDescent="0.25">
      <c r="B19" s="19">
        <v>1</v>
      </c>
      <c r="C19" s="27"/>
      <c r="D19" s="27">
        <v>1.39</v>
      </c>
      <c r="E19" s="27"/>
      <c r="F19" s="28" t="str">
        <f t="shared" si="0"/>
        <v/>
      </c>
      <c r="G19" s="28">
        <f t="shared" si="7"/>
        <v>46.658999999999999</v>
      </c>
      <c r="H19" s="22">
        <f>IF(COUNT(B19:E19)&gt;1,B19,IF(I19&lt;&gt;"",COUNT($H$13:H18)+1,""))</f>
        <v>1</v>
      </c>
      <c r="I19" s="29">
        <f t="shared" si="8"/>
        <v>-0.21500000000000341</v>
      </c>
      <c r="J19" s="30">
        <f t="shared" si="13"/>
        <v>3.0000000000001137E-3</v>
      </c>
      <c r="K19" s="31" t="str">
        <f t="shared" si="9"/>
        <v xml:space="preserve"> </v>
      </c>
      <c r="O19" s="40">
        <f t="shared" si="10"/>
        <v>48.048999999999999</v>
      </c>
      <c r="P19" s="40">
        <f t="shared" si="11"/>
        <v>46.658999999999999</v>
      </c>
      <c r="R19" s="37">
        <f t="shared" si="1"/>
        <v>48.048999999999999</v>
      </c>
      <c r="S19" s="37">
        <f t="shared" si="2"/>
        <v>1.175</v>
      </c>
      <c r="T19" s="37">
        <f t="shared" si="3"/>
        <v>46.874000000000002</v>
      </c>
      <c r="U19" s="37">
        <f t="shared" si="4"/>
        <v>-0.21500000000000341</v>
      </c>
      <c r="V19" s="37" t="str" cm="1">
        <f t="array" ref="V19">IF(I19&lt;&gt;"",_xlfn.IFS(U19&gt;0,"CUT",U19&lt;0,"FALL"),"")</f>
        <v>FALL</v>
      </c>
      <c r="W19" s="37" t="str">
        <f t="shared" si="5"/>
        <v/>
      </c>
      <c r="X19" s="37">
        <f>IF(COUNT(C19:E19)&lt;&gt;0,COUNT(B$13:$B18)+1,"")</f>
        <v>1</v>
      </c>
      <c r="Y19" s="37" t="str">
        <f>IF(W19="Turning Point",COUNT(Y$13:$Y18)+1,"")</f>
        <v/>
      </c>
      <c r="Z19" s="37" t="str">
        <f t="shared" si="6"/>
        <v xml:space="preserve"> </v>
      </c>
      <c r="AB19" s="37" t="str">
        <f>IF(E19&lt;&gt;"",COUNTIF(W$13:$W19,"Turning Point"),"")</f>
        <v/>
      </c>
      <c r="AC19" s="37" t="str">
        <f t="shared" si="12"/>
        <v/>
      </c>
    </row>
    <row r="20" spans="2:29" ht="20.25" customHeight="1" x14ac:dyDescent="0.25">
      <c r="B20" s="26">
        <v>2</v>
      </c>
      <c r="C20" s="27"/>
      <c r="D20" s="27">
        <v>1.28</v>
      </c>
      <c r="E20" s="27"/>
      <c r="F20" s="28" t="str">
        <f t="shared" si="0"/>
        <v/>
      </c>
      <c r="G20" s="28">
        <f t="shared" si="7"/>
        <v>46.768999999999998</v>
      </c>
      <c r="H20" s="22">
        <f>IF(COUNT(B20:E20)&gt;1,B20,IF(I20&lt;&gt;"",COUNT($H$13:H19)+1,""))</f>
        <v>2</v>
      </c>
      <c r="I20" s="29">
        <f t="shared" si="8"/>
        <v>-0.10500000000000398</v>
      </c>
      <c r="J20" s="30">
        <f t="shared" si="13"/>
        <v>0.10999999999999988</v>
      </c>
      <c r="K20" s="31" t="str">
        <f t="shared" si="9"/>
        <v xml:space="preserve"> </v>
      </c>
      <c r="O20" s="40">
        <f t="shared" si="10"/>
        <v>48.048999999999999</v>
      </c>
      <c r="P20" s="40">
        <f t="shared" si="11"/>
        <v>46.768999999999998</v>
      </c>
      <c r="R20" s="37">
        <f t="shared" si="1"/>
        <v>48.048999999999999</v>
      </c>
      <c r="S20" s="37">
        <f t="shared" si="2"/>
        <v>1.175</v>
      </c>
      <c r="T20" s="37">
        <f t="shared" si="3"/>
        <v>46.874000000000002</v>
      </c>
      <c r="U20" s="37">
        <f t="shared" si="4"/>
        <v>-0.10500000000000398</v>
      </c>
      <c r="V20" s="37" t="str" cm="1">
        <f t="array" ref="V20">IF(I20&lt;&gt;"",_xlfn.IFS(U20&gt;0,"CUT",U20&lt;0,"FALL"),"")</f>
        <v>FALL</v>
      </c>
      <c r="W20" s="37" t="str">
        <f t="shared" si="5"/>
        <v/>
      </c>
      <c r="X20" s="37">
        <f>IF(COUNT(C20:E20)&lt;&gt;0,COUNT(B$13:$B19)+1,"")</f>
        <v>2</v>
      </c>
      <c r="Y20" s="37" t="str">
        <f>IF(W20="Turning Point",COUNT(Y$13:$Y19)+1,"")</f>
        <v/>
      </c>
      <c r="Z20" s="37" t="str">
        <f t="shared" si="6"/>
        <v xml:space="preserve"> </v>
      </c>
      <c r="AB20" s="37" t="str">
        <f>IF(E20&lt;&gt;"",COUNTIF(W$13:$W20,"Turning Point"),"")</f>
        <v/>
      </c>
      <c r="AC20" s="37" t="str">
        <f t="shared" si="12"/>
        <v/>
      </c>
    </row>
    <row r="21" spans="2:29" ht="20.25" customHeight="1" x14ac:dyDescent="0.25">
      <c r="B21" s="19">
        <v>3</v>
      </c>
      <c r="C21" s="27"/>
      <c r="D21" s="27"/>
      <c r="E21" s="27">
        <v>1.0900000000000001</v>
      </c>
      <c r="F21" s="28" t="str">
        <f t="shared" si="0"/>
        <v/>
      </c>
      <c r="G21" s="28">
        <f t="shared" si="7"/>
        <v>46.958999999999996</v>
      </c>
      <c r="H21" s="22">
        <f>IF(COUNT(B21:E21)&gt;1,B21,IF(I21&lt;&gt;"",COUNT($H$13:H20)+1,""))</f>
        <v>3</v>
      </c>
      <c r="I21" s="29">
        <f t="shared" si="8"/>
        <v>8.4999999999993747E-2</v>
      </c>
      <c r="J21" s="30">
        <f t="shared" si="13"/>
        <v>0.18999999999999995</v>
      </c>
      <c r="K21" s="31" t="str">
        <f t="shared" si="9"/>
        <v>end</v>
      </c>
      <c r="O21" s="40">
        <f t="shared" si="10"/>
        <v>46.958999999999996</v>
      </c>
      <c r="P21" s="40">
        <f t="shared" si="11"/>
        <v>46.958999999999996</v>
      </c>
      <c r="R21" s="37">
        <f t="shared" si="1"/>
        <v>48.048999999999999</v>
      </c>
      <c r="S21" s="37">
        <f t="shared" si="2"/>
        <v>1.175</v>
      </c>
      <c r="T21" s="37">
        <f t="shared" si="3"/>
        <v>46.874000000000002</v>
      </c>
      <c r="U21" s="37">
        <f t="shared" si="4"/>
        <v>8.4999999999993747E-2</v>
      </c>
      <c r="V21" s="37" t="str" cm="1">
        <f t="array" ref="V21">IF(I21&lt;&gt;"",_xlfn.IFS(U21&gt;0,"CUT",U21&lt;0,"FALL"),"")</f>
        <v>CUT</v>
      </c>
      <c r="W21" s="37" t="str">
        <f t="shared" si="5"/>
        <v/>
      </c>
      <c r="X21" s="37">
        <f>IF(COUNT(C21:E21)&lt;&gt;0,COUNT(B$13:$B20)+1,"")</f>
        <v>3</v>
      </c>
      <c r="Y21" s="37" t="str">
        <f>IF(W21="Turning Point",COUNT(Y$13:$Y20)+1,"")</f>
        <v/>
      </c>
      <c r="Z21" s="37" t="str">
        <f t="shared" si="6"/>
        <v>end</v>
      </c>
      <c r="AB21" s="37">
        <f>IF(E21&lt;&gt;"",COUNTIF(W$13:$W21,"Turning Point"),"")</f>
        <v>2</v>
      </c>
      <c r="AC21" s="37" t="str">
        <f t="shared" si="12"/>
        <v>end</v>
      </c>
    </row>
    <row r="22" spans="2:29" ht="20.25" customHeight="1" x14ac:dyDescent="0.25">
      <c r="B22" s="26">
        <v>9</v>
      </c>
      <c r="C22" s="27"/>
      <c r="D22" s="27"/>
      <c r="E22" s="27"/>
      <c r="F22" s="28" t="str">
        <f t="shared" si="0"/>
        <v/>
      </c>
      <c r="G22" s="28" t="str">
        <f t="shared" si="7"/>
        <v/>
      </c>
      <c r="H22" s="22" t="str">
        <f>IF(COUNT(B22:E22)&gt;1,B22,IF(I22&lt;&gt;"",COUNT($H$13:H21)+1,""))</f>
        <v/>
      </c>
      <c r="I22" s="29" t="str">
        <f t="shared" si="8"/>
        <v/>
      </c>
      <c r="J22" s="30" t="str">
        <f t="shared" si="13"/>
        <v/>
      </c>
      <c r="K22" s="31" t="str">
        <f t="shared" si="9"/>
        <v/>
      </c>
      <c r="O22" s="40">
        <f t="shared" si="10"/>
        <v>46.958999999999996</v>
      </c>
      <c r="P22" s="40">
        <f t="shared" si="11"/>
        <v>46.958999999999996</v>
      </c>
      <c r="R22" s="37">
        <f t="shared" si="1"/>
        <v>48.048999999999999</v>
      </c>
      <c r="S22" s="37">
        <f t="shared" si="2"/>
        <v>1.175</v>
      </c>
      <c r="T22" s="37">
        <f t="shared" si="3"/>
        <v>46.874000000000002</v>
      </c>
      <c r="U22" s="37">
        <f t="shared" si="4"/>
        <v>8.4999999999993747E-2</v>
      </c>
      <c r="V22" s="37" t="str" cm="1">
        <f t="array" ref="V22">IF(I22&lt;&gt;"",_xlfn.IFS(U22&gt;0,"CUT",U22&lt;0,"FALL"),"")</f>
        <v/>
      </c>
      <c r="W22" s="37" t="str">
        <f t="shared" si="5"/>
        <v/>
      </c>
      <c r="X22" s="37" t="str">
        <f>IF(COUNT(C22:E22)&lt;&gt;0,COUNT(B$13:$B21)+1,"")</f>
        <v/>
      </c>
      <c r="Y22" s="37" t="str">
        <f>IF(W22="Turning Point",COUNT(Y$13:$Y21)+1,"")</f>
        <v/>
      </c>
      <c r="Z22" s="37" t="str">
        <f t="shared" si="6"/>
        <v/>
      </c>
      <c r="AB22" s="37" t="str">
        <f>IF(E22&lt;&gt;"",COUNTIF(W$13:$W22,"Turning Point"),"")</f>
        <v/>
      </c>
      <c r="AC22" s="37" t="str">
        <f t="shared" si="12"/>
        <v/>
      </c>
    </row>
    <row r="23" spans="2:29" ht="20.25" customHeight="1" x14ac:dyDescent="0.25">
      <c r="B23" s="19">
        <v>10</v>
      </c>
      <c r="C23" s="27"/>
      <c r="D23" s="27"/>
      <c r="E23" s="27"/>
      <c r="F23" s="28" t="str">
        <f t="shared" si="0"/>
        <v/>
      </c>
      <c r="G23" s="28" t="str">
        <f>IF(AND(C23="",D23="",E23=""),"",P23)</f>
        <v/>
      </c>
      <c r="H23" s="22" t="str">
        <f>IF(COUNT(B23:E23)&gt;1,B23,IF(I23&lt;&gt;"",COUNT($H$13:H22)+1,""))</f>
        <v/>
      </c>
      <c r="I23" s="29" t="str">
        <f t="shared" si="8"/>
        <v/>
      </c>
      <c r="J23" s="30" t="str">
        <f t="shared" si="13"/>
        <v/>
      </c>
      <c r="K23" s="31" t="str">
        <f t="shared" si="9"/>
        <v/>
      </c>
      <c r="O23" s="40">
        <f t="shared" si="10"/>
        <v>46.958999999999996</v>
      </c>
      <c r="P23" s="40">
        <f t="shared" si="11"/>
        <v>46.958999999999996</v>
      </c>
      <c r="R23" s="37">
        <f t="shared" si="1"/>
        <v>48.048999999999999</v>
      </c>
      <c r="S23" s="37">
        <f t="shared" si="2"/>
        <v>1.175</v>
      </c>
      <c r="T23" s="37">
        <f t="shared" si="3"/>
        <v>46.874000000000002</v>
      </c>
      <c r="U23" s="37">
        <f t="shared" si="4"/>
        <v>8.4999999999993747E-2</v>
      </c>
      <c r="V23" s="37" t="str" cm="1">
        <f t="array" ref="V23">IF(I23&lt;&gt;"",_xlfn.IFS(U23&gt;0,"CUT",U23&lt;0,"FALL"),"")</f>
        <v/>
      </c>
      <c r="W23" s="37" t="str">
        <f t="shared" si="5"/>
        <v/>
      </c>
      <c r="X23" s="37" t="str">
        <f>IF(COUNT(C23:E23)&lt;&gt;0,COUNT(B$13:$B22)+1,"")</f>
        <v/>
      </c>
      <c r="Y23" s="37" t="str">
        <f>IF(W23="Turning Point",COUNT(Y$13:$Y22)+1,"")</f>
        <v/>
      </c>
      <c r="Z23" s="37" t="str">
        <f t="shared" si="6"/>
        <v/>
      </c>
      <c r="AB23" s="37" t="str">
        <f>IF(E23&lt;&gt;"",COUNTIF(W$13:$W23,"Turning Point"),"")</f>
        <v/>
      </c>
      <c r="AC23" s="37" t="str">
        <f t="shared" si="12"/>
        <v/>
      </c>
    </row>
    <row r="24" spans="2:29" ht="20.25" customHeight="1" x14ac:dyDescent="0.25">
      <c r="B24" s="26">
        <v>11</v>
      </c>
      <c r="C24" s="27"/>
      <c r="D24" s="27"/>
      <c r="E24" s="27"/>
      <c r="F24" s="28" t="str">
        <f t="shared" si="0"/>
        <v/>
      </c>
      <c r="G24" s="28" t="str">
        <f t="shared" si="7"/>
        <v/>
      </c>
      <c r="H24" s="22" t="str">
        <f>IF(COUNT(B24:E24)&gt;1,B24,IF(I24&lt;&gt;"",COUNT($H$13:H23)+1,""))</f>
        <v/>
      </c>
      <c r="I24" s="29" t="str">
        <f t="shared" si="8"/>
        <v/>
      </c>
      <c r="J24" s="30" t="str">
        <f t="shared" si="13"/>
        <v/>
      </c>
      <c r="K24" s="31" t="str">
        <f t="shared" si="9"/>
        <v/>
      </c>
      <c r="O24" s="40">
        <f t="shared" si="10"/>
        <v>46.958999999999996</v>
      </c>
      <c r="P24" s="40">
        <f t="shared" si="11"/>
        <v>46.958999999999996</v>
      </c>
      <c r="R24" s="37">
        <f t="shared" si="1"/>
        <v>48.048999999999999</v>
      </c>
      <c r="S24" s="37">
        <f t="shared" si="2"/>
        <v>1.175</v>
      </c>
      <c r="T24" s="37">
        <f t="shared" si="3"/>
        <v>46.874000000000002</v>
      </c>
      <c r="U24" s="37">
        <f t="shared" si="4"/>
        <v>8.4999999999993747E-2</v>
      </c>
      <c r="V24" s="37" t="str" cm="1">
        <f t="array" ref="V24">IF(I24&lt;&gt;"",_xlfn.IFS(U24&gt;0,"CUT",U24&lt;0,"FALL"),"")</f>
        <v/>
      </c>
      <c r="W24" s="37" t="str">
        <f t="shared" si="5"/>
        <v/>
      </c>
      <c r="X24" s="37" t="str">
        <f>IF(COUNT(C24:E24)&lt;&gt;0,COUNT(B$13:$B23)+1,"")</f>
        <v/>
      </c>
      <c r="Y24" s="37" t="str">
        <f>IF(W24="Turning Point",COUNT(Y$13:$Y23)+1,"")</f>
        <v/>
      </c>
      <c r="Z24" s="37" t="str">
        <f t="shared" si="6"/>
        <v/>
      </c>
      <c r="AB24" s="37" t="str">
        <f>IF(E24&lt;&gt;"",COUNTIF(W$13:$W24,"Turning Point"),"")</f>
        <v/>
      </c>
      <c r="AC24" s="37" t="str">
        <f t="shared" si="12"/>
        <v/>
      </c>
    </row>
    <row r="25" spans="2:29" ht="20.25" customHeight="1" x14ac:dyDescent="0.25">
      <c r="B25" s="19">
        <v>12</v>
      </c>
      <c r="C25" s="27"/>
      <c r="D25" s="27"/>
      <c r="E25" s="27"/>
      <c r="F25" s="28" t="str">
        <f t="shared" si="0"/>
        <v/>
      </c>
      <c r="G25" s="28" t="str">
        <f>IF(AND(C25="",D25="",E25=""),"",P25)</f>
        <v/>
      </c>
      <c r="H25" s="22" t="str">
        <f>IF(COUNT(B25:E25)&gt;1,B25,IF(I25&lt;&gt;"",COUNT($H$13:H24)+1,""))</f>
        <v/>
      </c>
      <c r="I25" s="29" t="str">
        <f>IF(COUNT(C25:E25)&gt;0,U25,"")</f>
        <v/>
      </c>
      <c r="J25" s="30" t="str">
        <f t="shared" si="13"/>
        <v/>
      </c>
      <c r="K25" s="31" t="str">
        <f t="shared" si="9"/>
        <v/>
      </c>
      <c r="O25" s="40">
        <f>P25+D25+C25</f>
        <v>46.958999999999996</v>
      </c>
      <c r="P25" s="40">
        <f>O24-D25-E25</f>
        <v>46.958999999999996</v>
      </c>
      <c r="R25" s="37">
        <f t="shared" si="1"/>
        <v>48.048999999999999</v>
      </c>
      <c r="S25" s="37">
        <f t="shared" si="2"/>
        <v>1.175</v>
      </c>
      <c r="T25" s="37">
        <f t="shared" si="3"/>
        <v>46.874000000000002</v>
      </c>
      <c r="U25" s="37">
        <f t="shared" si="4"/>
        <v>8.4999999999993747E-2</v>
      </c>
      <c r="V25" s="37" t="str" cm="1">
        <f t="array" ref="V25">IF(I25&lt;&gt;"",_xlfn.IFS(U25&gt;0,"CUT",U25&lt;0,"FALL"),"")</f>
        <v/>
      </c>
      <c r="W25" s="37" t="str">
        <f t="shared" si="5"/>
        <v/>
      </c>
      <c r="X25" s="37" t="str">
        <f>IF(COUNT(C25:E25)&lt;&gt;0,COUNT(B$13:$B24)+1,"")</f>
        <v/>
      </c>
      <c r="Y25" s="37" t="str">
        <f>IF(W25="Turning Point",COUNT(Y$13:$Y24)+1,"")</f>
        <v/>
      </c>
      <c r="Z25" s="37" t="str">
        <f t="shared" si="6"/>
        <v/>
      </c>
      <c r="AB25" s="37" t="str">
        <f>IF(E25&lt;&gt;"",COUNTIF(W$13:$W25,"Turning Point"),"")</f>
        <v/>
      </c>
      <c r="AC25" s="37" t="str">
        <f t="shared" si="12"/>
        <v/>
      </c>
    </row>
    <row r="26" spans="2:29" ht="20.25" customHeight="1" x14ac:dyDescent="0.25">
      <c r="B26" s="26">
        <v>13</v>
      </c>
      <c r="C26" s="27"/>
      <c r="D26" s="27"/>
      <c r="E26" s="27"/>
      <c r="F26" s="28" t="str">
        <f t="shared" si="0"/>
        <v/>
      </c>
      <c r="G26" s="28" t="str">
        <f t="shared" si="7"/>
        <v/>
      </c>
      <c r="H26" s="22" t="str">
        <f>IF(COUNT(B26:E26)&gt;1,B26,IF(I26&lt;&gt;"",COUNT($H$13:H25)+1,""))</f>
        <v/>
      </c>
      <c r="I26" s="29" t="str">
        <f t="shared" si="8"/>
        <v/>
      </c>
      <c r="J26" s="30" t="str">
        <f t="shared" si="13"/>
        <v/>
      </c>
      <c r="K26" s="31" t="str">
        <f t="shared" si="9"/>
        <v/>
      </c>
      <c r="O26" s="40">
        <f t="shared" si="10"/>
        <v>46.958999999999996</v>
      </c>
      <c r="P26" s="40">
        <f t="shared" si="11"/>
        <v>46.958999999999996</v>
      </c>
      <c r="R26" s="37">
        <f t="shared" si="1"/>
        <v>48.048999999999999</v>
      </c>
      <c r="S26" s="37">
        <f t="shared" si="2"/>
        <v>1.175</v>
      </c>
      <c r="T26" s="37">
        <f t="shared" si="3"/>
        <v>46.874000000000002</v>
      </c>
      <c r="U26" s="37">
        <f t="shared" si="4"/>
        <v>8.4999999999993747E-2</v>
      </c>
      <c r="V26" s="37" t="str" cm="1">
        <f t="array" ref="V26">IF(I26&lt;&gt;"",_xlfn.IFS(U26&gt;0,"CUT",U26&lt;0,"FALL"),"")</f>
        <v/>
      </c>
      <c r="W26" s="37" t="str">
        <f t="shared" si="5"/>
        <v/>
      </c>
      <c r="X26" s="37" t="str">
        <f>IF(COUNT(C26:E26)&lt;&gt;0,COUNT(B$13:$B25)+1,"")</f>
        <v/>
      </c>
      <c r="Y26" s="37" t="str">
        <f>IF(W26="Turning Point",COUNT(Y$13:$Y25)+1,"")</f>
        <v/>
      </c>
      <c r="Z26" s="37" t="str">
        <f t="shared" si="6"/>
        <v/>
      </c>
      <c r="AB26" s="37" t="str">
        <f>IF(E26&lt;&gt;"",COUNTIF(W$13:$W26,"Turning Point"),"")</f>
        <v/>
      </c>
      <c r="AC26" s="37" t="str">
        <f t="shared" si="12"/>
        <v/>
      </c>
    </row>
    <row r="27" spans="2:29" ht="20.25" customHeight="1" x14ac:dyDescent="0.25">
      <c r="B27" s="19">
        <v>14</v>
      </c>
      <c r="C27" s="27"/>
      <c r="D27" s="27"/>
      <c r="E27" s="27"/>
      <c r="F27" s="28" t="str">
        <f t="shared" si="0"/>
        <v/>
      </c>
      <c r="G27" s="28" t="str">
        <f t="shared" si="7"/>
        <v/>
      </c>
      <c r="H27" s="22" t="str">
        <f>IF(COUNT(B27:E27)&gt;1,B27,IF(I27&lt;&gt;"",COUNT($H$13:H26)+1,""))</f>
        <v/>
      </c>
      <c r="I27" s="29" t="str">
        <f t="shared" si="8"/>
        <v/>
      </c>
      <c r="J27" s="30" t="str">
        <f t="shared" si="13"/>
        <v/>
      </c>
      <c r="K27" s="31" t="str">
        <f t="shared" si="9"/>
        <v/>
      </c>
      <c r="O27" s="40">
        <f t="shared" si="10"/>
        <v>46.958999999999996</v>
      </c>
      <c r="P27" s="40">
        <f t="shared" si="11"/>
        <v>46.958999999999996</v>
      </c>
      <c r="R27" s="37">
        <f t="shared" si="1"/>
        <v>48.048999999999999</v>
      </c>
      <c r="S27" s="37">
        <f t="shared" si="2"/>
        <v>1.175</v>
      </c>
      <c r="T27" s="37">
        <f t="shared" si="3"/>
        <v>46.874000000000002</v>
      </c>
      <c r="U27" s="37">
        <f t="shared" si="4"/>
        <v>8.4999999999993747E-2</v>
      </c>
      <c r="V27" s="37" t="str" cm="1">
        <f t="array" ref="V27">IF(I27&lt;&gt;"",_xlfn.IFS(U27&gt;0,"CUT",U27&lt;0,"FALL"),"")</f>
        <v/>
      </c>
      <c r="W27" s="37" t="str">
        <f t="shared" si="5"/>
        <v/>
      </c>
      <c r="X27" s="37" t="str">
        <f>IF(COUNT(C27:E27)&lt;&gt;0,COUNT(B$13:$B26)+1,"")</f>
        <v/>
      </c>
      <c r="Y27" s="37" t="str">
        <f>IF(W27="Turning Point",COUNT(Y$13:$Y26)+1,"")</f>
        <v/>
      </c>
      <c r="Z27" s="37" t="str">
        <f t="shared" si="6"/>
        <v/>
      </c>
      <c r="AB27" s="37" t="str">
        <f>IF(E27&lt;&gt;"",COUNTIF(W$13:$W27,"Turning Point"),"")</f>
        <v/>
      </c>
      <c r="AC27" s="37" t="str">
        <f t="shared" si="12"/>
        <v/>
      </c>
    </row>
    <row r="28" spans="2:29" ht="20.25" customHeight="1" x14ac:dyDescent="0.25">
      <c r="B28" s="26">
        <v>15</v>
      </c>
      <c r="C28" s="27"/>
      <c r="D28" s="27"/>
      <c r="E28" s="27"/>
      <c r="F28" s="28" t="str">
        <f t="shared" si="0"/>
        <v/>
      </c>
      <c r="G28" s="28" t="str">
        <f t="shared" si="7"/>
        <v/>
      </c>
      <c r="H28" s="22" t="str">
        <f>IF(COUNT(B28:E28)&gt;1,B28,IF(I28&lt;&gt;"",COUNT($H$13:H27)+1,""))</f>
        <v/>
      </c>
      <c r="I28" s="29" t="str">
        <f t="shared" si="8"/>
        <v/>
      </c>
      <c r="J28" s="30" t="str">
        <f t="shared" si="13"/>
        <v/>
      </c>
      <c r="K28" s="31" t="str">
        <f t="shared" si="9"/>
        <v/>
      </c>
      <c r="O28" s="40">
        <f t="shared" si="10"/>
        <v>46.958999999999996</v>
      </c>
      <c r="P28" s="40">
        <f t="shared" si="11"/>
        <v>46.958999999999996</v>
      </c>
      <c r="R28" s="37">
        <f t="shared" si="1"/>
        <v>48.048999999999999</v>
      </c>
      <c r="S28" s="37">
        <f t="shared" si="2"/>
        <v>1.175</v>
      </c>
      <c r="T28" s="37">
        <f t="shared" si="3"/>
        <v>46.874000000000002</v>
      </c>
      <c r="U28" s="37">
        <f t="shared" si="4"/>
        <v>8.4999999999993747E-2</v>
      </c>
      <c r="V28" s="37" t="str" cm="1">
        <f t="array" ref="V28">IF(I28&lt;&gt;"",_xlfn.IFS(U28&gt;0,"CUT",U28&lt;0,"FALL"),"")</f>
        <v/>
      </c>
      <c r="W28" s="37" t="str">
        <f t="shared" si="5"/>
        <v/>
      </c>
      <c r="X28" s="37" t="str">
        <f>IF(COUNT(C28:E28)&lt;&gt;0,COUNT(B$13:$B27)+1,"")</f>
        <v/>
      </c>
      <c r="Y28" s="37" t="str">
        <f>IF(W28="Turning Point",COUNT(Y$13:$Y27)+1,"")</f>
        <v/>
      </c>
      <c r="Z28" s="37" t="str">
        <f t="shared" si="6"/>
        <v/>
      </c>
      <c r="AB28" s="37" t="str">
        <f>IF(E28&lt;&gt;"",COUNTIF(W$13:$W28,"Turning Point"),"")</f>
        <v/>
      </c>
      <c r="AC28" s="37" t="str">
        <f t="shared" si="12"/>
        <v/>
      </c>
    </row>
    <row r="29" spans="2:29" ht="20.25" customHeight="1" x14ac:dyDescent="0.25">
      <c r="B29" s="19">
        <v>16</v>
      </c>
      <c r="C29" s="27"/>
      <c r="D29" s="27"/>
      <c r="E29" s="27"/>
      <c r="F29" s="28" t="str">
        <f t="shared" si="0"/>
        <v/>
      </c>
      <c r="G29" s="28" t="str">
        <f t="shared" si="7"/>
        <v/>
      </c>
      <c r="H29" s="22" t="str">
        <f>IF(COUNT(B29:E29)&gt;1,B29,IF(I29&lt;&gt;"",COUNT($H$13:H28)+1,""))</f>
        <v/>
      </c>
      <c r="I29" s="29" t="str">
        <f t="shared" si="8"/>
        <v/>
      </c>
      <c r="J29" s="30" t="str">
        <f t="shared" si="13"/>
        <v/>
      </c>
      <c r="K29" s="31" t="str">
        <f t="shared" si="9"/>
        <v/>
      </c>
      <c r="O29" s="40">
        <f t="shared" si="10"/>
        <v>46.958999999999996</v>
      </c>
      <c r="P29" s="40">
        <f t="shared" si="11"/>
        <v>46.958999999999996</v>
      </c>
      <c r="R29" s="37">
        <f t="shared" si="1"/>
        <v>48.048999999999999</v>
      </c>
      <c r="S29" s="37">
        <f t="shared" si="2"/>
        <v>1.175</v>
      </c>
      <c r="T29" s="37">
        <f t="shared" si="3"/>
        <v>46.874000000000002</v>
      </c>
      <c r="U29" s="37">
        <f t="shared" si="4"/>
        <v>8.4999999999993747E-2</v>
      </c>
      <c r="V29" s="37" t="str" cm="1">
        <f t="array" ref="V29">IF(I29&lt;&gt;"",_xlfn.IFS(U29&gt;0,"CUT",U29&lt;0,"FALL"),"")</f>
        <v/>
      </c>
      <c r="W29" s="37" t="str">
        <f t="shared" si="5"/>
        <v/>
      </c>
      <c r="X29" s="37" t="str">
        <f>IF(COUNT(C29:E29)&lt;&gt;0,COUNT(B$13:$B28)+1,"")</f>
        <v/>
      </c>
      <c r="Y29" s="37" t="str">
        <f>IF(W29="Turning Point",COUNT(Y$13:$Y28)+1,"")</f>
        <v/>
      </c>
      <c r="Z29" s="37" t="str">
        <f t="shared" si="6"/>
        <v/>
      </c>
      <c r="AB29" s="37" t="str">
        <f>IF(E29&lt;&gt;"",COUNTIF(W$13:$W29,"Turning Point"),"")</f>
        <v/>
      </c>
      <c r="AC29" s="37" t="str">
        <f t="shared" si="12"/>
        <v/>
      </c>
    </row>
    <row r="30" spans="2:29" ht="20.25" customHeight="1" x14ac:dyDescent="0.25">
      <c r="B30" s="26">
        <v>17</v>
      </c>
      <c r="C30" s="27"/>
      <c r="D30" s="27"/>
      <c r="E30" s="27"/>
      <c r="F30" s="28" t="str">
        <f t="shared" si="0"/>
        <v/>
      </c>
      <c r="G30" s="28" t="str">
        <f t="shared" si="7"/>
        <v/>
      </c>
      <c r="H30" s="22" t="str">
        <f>IF(COUNT(B30:E30)&gt;1,B30,IF(I30&lt;&gt;"",COUNT($H$13:H29)+1,""))</f>
        <v/>
      </c>
      <c r="I30" s="29" t="str">
        <f t="shared" si="8"/>
        <v/>
      </c>
      <c r="J30" s="30" t="str">
        <f t="shared" si="13"/>
        <v/>
      </c>
      <c r="K30" s="31" t="str">
        <f t="shared" si="9"/>
        <v/>
      </c>
      <c r="O30" s="40">
        <f t="shared" si="10"/>
        <v>46.958999999999996</v>
      </c>
      <c r="P30" s="40">
        <f t="shared" si="11"/>
        <v>46.958999999999996</v>
      </c>
      <c r="R30" s="37">
        <f t="shared" si="1"/>
        <v>48.048999999999999</v>
      </c>
      <c r="S30" s="37">
        <f t="shared" si="2"/>
        <v>1.175</v>
      </c>
      <c r="T30" s="37">
        <f t="shared" si="3"/>
        <v>46.874000000000002</v>
      </c>
      <c r="U30" s="37">
        <f t="shared" si="4"/>
        <v>8.4999999999993747E-2</v>
      </c>
      <c r="V30" s="37" t="str" cm="1">
        <f t="array" ref="V30">IF(I30&lt;&gt;"",_xlfn.IFS(U30&gt;0,"CUT",U30&lt;0,"FALL"),"")</f>
        <v/>
      </c>
      <c r="W30" s="37" t="str">
        <f t="shared" si="5"/>
        <v/>
      </c>
      <c r="X30" s="37" t="str">
        <f>IF(COUNT(C30:E30)&lt;&gt;0,COUNT(B$13:$B29)+1,"")</f>
        <v/>
      </c>
      <c r="Y30" s="37" t="str">
        <f>IF(W30="Turning Point",COUNT(Y$13:$Y29)+1,"")</f>
        <v/>
      </c>
      <c r="Z30" s="37" t="str">
        <f t="shared" si="6"/>
        <v/>
      </c>
      <c r="AB30" s="37" t="str">
        <f>IF(E30&lt;&gt;"",COUNTIF(W$13:$W30,"Turning Point"),"")</f>
        <v/>
      </c>
      <c r="AC30" s="37" t="str">
        <f t="shared" si="12"/>
        <v/>
      </c>
    </row>
    <row r="31" spans="2:29" ht="20.25" customHeight="1" x14ac:dyDescent="0.25">
      <c r="B31" s="19">
        <v>18</v>
      </c>
      <c r="C31" s="27"/>
      <c r="D31" s="27"/>
      <c r="E31" s="27"/>
      <c r="F31" s="28" t="str">
        <f t="shared" si="0"/>
        <v/>
      </c>
      <c r="G31" s="28" t="str">
        <f t="shared" si="7"/>
        <v/>
      </c>
      <c r="H31" s="22" t="str">
        <f>IF(COUNT(B31:E31)&gt;1,B31,IF(I31&lt;&gt;"",COUNT($H$13:H30)+1,""))</f>
        <v/>
      </c>
      <c r="I31" s="29" t="str">
        <f t="shared" si="8"/>
        <v/>
      </c>
      <c r="J31" s="30" t="str">
        <f t="shared" si="13"/>
        <v/>
      </c>
      <c r="K31" s="31" t="str">
        <f t="shared" si="9"/>
        <v/>
      </c>
      <c r="O31" s="40">
        <f t="shared" si="10"/>
        <v>46.958999999999996</v>
      </c>
      <c r="P31" s="40">
        <f t="shared" si="11"/>
        <v>46.958999999999996</v>
      </c>
      <c r="R31" s="37">
        <f t="shared" si="1"/>
        <v>48.048999999999999</v>
      </c>
      <c r="S31" s="37">
        <f t="shared" si="2"/>
        <v>1.175</v>
      </c>
      <c r="T31" s="37">
        <f t="shared" si="3"/>
        <v>46.874000000000002</v>
      </c>
      <c r="U31" s="37">
        <f t="shared" si="4"/>
        <v>8.4999999999993747E-2</v>
      </c>
      <c r="V31" s="37" t="str" cm="1">
        <f t="array" ref="V31">IF(I31&lt;&gt;"",_xlfn.IFS(U31&gt;0,"CUT",U31&lt;0,"FALL"),"")</f>
        <v/>
      </c>
      <c r="W31" s="37" t="str">
        <f t="shared" si="5"/>
        <v/>
      </c>
      <c r="X31" s="37" t="str">
        <f>IF(COUNT(C31:E31)&lt;&gt;0,COUNT(B$13:$B30)+1,"")</f>
        <v/>
      </c>
      <c r="Y31" s="37" t="str">
        <f>IF(W31="Turning Point",COUNT(Y$13:$Y30)+1,"")</f>
        <v/>
      </c>
      <c r="Z31" s="37" t="str">
        <f t="shared" si="6"/>
        <v/>
      </c>
      <c r="AB31" s="37" t="str">
        <f>IF(E31&lt;&gt;"",COUNTIF(W$13:$W31,"Turning Point"),"")</f>
        <v/>
      </c>
      <c r="AC31" s="37" t="str">
        <f t="shared" si="12"/>
        <v/>
      </c>
    </row>
    <row r="32" spans="2:29" ht="20.25" customHeight="1" x14ac:dyDescent="0.25">
      <c r="B32" s="26">
        <v>19</v>
      </c>
      <c r="C32" s="27"/>
      <c r="D32" s="27"/>
      <c r="E32" s="27"/>
      <c r="F32" s="28" t="str">
        <f t="shared" si="0"/>
        <v/>
      </c>
      <c r="G32" s="28" t="str">
        <f t="shared" si="7"/>
        <v/>
      </c>
      <c r="H32" s="22" t="str">
        <f>IF(COUNT(B32:E32)&gt;1,B32,IF(I32&lt;&gt;"",COUNT($H$13:H31)+1,""))</f>
        <v/>
      </c>
      <c r="I32" s="29" t="str">
        <f t="shared" si="8"/>
        <v/>
      </c>
      <c r="J32" s="30" t="str">
        <f t="shared" si="13"/>
        <v/>
      </c>
      <c r="K32" s="31" t="str">
        <f t="shared" si="9"/>
        <v/>
      </c>
      <c r="O32" s="40">
        <f t="shared" si="10"/>
        <v>46.958999999999996</v>
      </c>
      <c r="P32" s="40">
        <f t="shared" si="11"/>
        <v>46.958999999999996</v>
      </c>
      <c r="R32" s="37">
        <f t="shared" si="1"/>
        <v>48.048999999999999</v>
      </c>
      <c r="S32" s="37">
        <f t="shared" si="2"/>
        <v>1.175</v>
      </c>
      <c r="T32" s="37">
        <f t="shared" si="3"/>
        <v>46.874000000000002</v>
      </c>
      <c r="U32" s="37">
        <f t="shared" si="4"/>
        <v>8.4999999999993747E-2</v>
      </c>
      <c r="V32" s="37" t="str" cm="1">
        <f t="array" ref="V32">IF(I32&lt;&gt;"",_xlfn.IFS(U32&gt;0,"CUT",U32&lt;0,"FALL"),"")</f>
        <v/>
      </c>
      <c r="W32" s="37" t="str">
        <f t="shared" si="5"/>
        <v/>
      </c>
      <c r="X32" s="37" t="str">
        <f>IF(COUNT(C32:E32)&lt;&gt;0,COUNT(B$13:$B31)+1,"")</f>
        <v/>
      </c>
      <c r="Y32" s="37" t="str">
        <f>IF(W32="Turning Point",COUNT(Y$13:$Y31)+1,"")</f>
        <v/>
      </c>
      <c r="Z32" s="37" t="str">
        <f t="shared" si="6"/>
        <v/>
      </c>
      <c r="AB32" s="37" t="str">
        <f>IF(E32&lt;&gt;"",COUNTIF(W$13:$W32,"Turning Point"),"")</f>
        <v/>
      </c>
      <c r="AC32" s="37" t="str">
        <f t="shared" si="12"/>
        <v/>
      </c>
    </row>
    <row r="33" spans="2:29" ht="20.25" customHeight="1" x14ac:dyDescent="0.25">
      <c r="B33" s="19">
        <v>20</v>
      </c>
      <c r="C33" s="27"/>
      <c r="D33" s="27"/>
      <c r="E33" s="27"/>
      <c r="F33" s="28" t="str">
        <f t="shared" si="0"/>
        <v/>
      </c>
      <c r="G33" s="28" t="str">
        <f t="shared" si="7"/>
        <v/>
      </c>
      <c r="H33" s="22" t="str">
        <f>IF(COUNT(B33:E33)&gt;1,B33,IF(I33&lt;&gt;"",COUNT($H$13:H32)+1,""))</f>
        <v/>
      </c>
      <c r="I33" s="29" t="str">
        <f t="shared" si="8"/>
        <v/>
      </c>
      <c r="J33" s="30" t="str">
        <f t="shared" si="13"/>
        <v/>
      </c>
      <c r="K33" s="31" t="str">
        <f t="shared" si="9"/>
        <v/>
      </c>
      <c r="O33" s="40">
        <f t="shared" si="10"/>
        <v>46.958999999999996</v>
      </c>
      <c r="P33" s="40">
        <f t="shared" si="11"/>
        <v>46.958999999999996</v>
      </c>
      <c r="R33" s="37">
        <f t="shared" si="1"/>
        <v>48.048999999999999</v>
      </c>
      <c r="S33" s="37">
        <f t="shared" si="2"/>
        <v>1.175</v>
      </c>
      <c r="T33" s="37">
        <f t="shared" si="3"/>
        <v>46.874000000000002</v>
      </c>
      <c r="U33" s="37">
        <f t="shared" si="4"/>
        <v>8.4999999999993747E-2</v>
      </c>
      <c r="V33" s="37" t="str" cm="1">
        <f t="array" ref="V33">IF(I33&lt;&gt;"",_xlfn.IFS(U33&gt;0,"CUT",U33&lt;0,"FALL"),"")</f>
        <v/>
      </c>
      <c r="W33" s="37" t="str">
        <f t="shared" si="5"/>
        <v/>
      </c>
      <c r="X33" s="37" t="str">
        <f>IF(COUNT(C33:E33)&lt;&gt;0,COUNT(B$13:$B32)+1,"")</f>
        <v/>
      </c>
      <c r="Y33" s="37" t="str">
        <f>IF(W33="Turning Point",COUNT(Y$13:$Y32)+1,"")</f>
        <v/>
      </c>
      <c r="Z33" s="37" t="str">
        <f t="shared" si="6"/>
        <v/>
      </c>
      <c r="AB33" s="37" t="str">
        <f>IF(E33&lt;&gt;"",COUNTIF(W$13:$W33,"Turning Point"),"")</f>
        <v/>
      </c>
      <c r="AC33" s="37" t="str">
        <f t="shared" si="12"/>
        <v/>
      </c>
    </row>
    <row r="34" spans="2:29" ht="20.25" customHeight="1" x14ac:dyDescent="0.25">
      <c r="B34" s="26">
        <v>21</v>
      </c>
      <c r="C34" s="27"/>
      <c r="D34" s="27"/>
      <c r="E34" s="27"/>
      <c r="F34" s="28" t="str">
        <f t="shared" si="0"/>
        <v/>
      </c>
      <c r="G34" s="28" t="str">
        <f t="shared" si="7"/>
        <v/>
      </c>
      <c r="H34" s="22" t="str">
        <f>IF(COUNT(B34:E34)&gt;1,B34,IF(I34&lt;&gt;"",COUNT($H$13:H33)+1,""))</f>
        <v/>
      </c>
      <c r="I34" s="29" t="str">
        <f t="shared" si="8"/>
        <v/>
      </c>
      <c r="J34" s="30" t="str">
        <f t="shared" si="13"/>
        <v/>
      </c>
      <c r="K34" s="31" t="str">
        <f t="shared" si="9"/>
        <v/>
      </c>
      <c r="O34" s="40">
        <f t="shared" si="10"/>
        <v>46.958999999999996</v>
      </c>
      <c r="P34" s="40">
        <f t="shared" si="11"/>
        <v>46.958999999999996</v>
      </c>
      <c r="R34" s="37">
        <f t="shared" si="1"/>
        <v>48.048999999999999</v>
      </c>
      <c r="S34" s="37">
        <f t="shared" si="2"/>
        <v>1.175</v>
      </c>
      <c r="T34" s="37">
        <f t="shared" si="3"/>
        <v>46.874000000000002</v>
      </c>
      <c r="U34" s="37">
        <f t="shared" si="4"/>
        <v>8.4999999999993747E-2</v>
      </c>
      <c r="V34" s="37" t="str" cm="1">
        <f t="array" ref="V34">IF(I34&lt;&gt;"",_xlfn.IFS(U34&gt;0,"CUT",U34&lt;0,"FALL"),"")</f>
        <v/>
      </c>
      <c r="W34" s="37" t="str">
        <f t="shared" si="5"/>
        <v/>
      </c>
      <c r="X34" s="37" t="str">
        <f>IF(COUNT(C34:E34)&lt;&gt;0,COUNT(B$13:$B33)+1,"")</f>
        <v/>
      </c>
      <c r="Y34" s="37" t="str">
        <f>IF(W34="Turning Point",COUNT(Y$13:$Y33)+1,"")</f>
        <v/>
      </c>
      <c r="Z34" s="37" t="str">
        <f t="shared" si="6"/>
        <v/>
      </c>
      <c r="AB34" s="37" t="str">
        <f>IF(E34&lt;&gt;"",COUNTIF(W$13:$W34,"Turning Point"),"")</f>
        <v/>
      </c>
      <c r="AC34" s="37" t="str">
        <f t="shared" si="12"/>
        <v/>
      </c>
    </row>
    <row r="35" spans="2:29" ht="20.25" customHeight="1" x14ac:dyDescent="0.25">
      <c r="B35" s="19">
        <v>22</v>
      </c>
      <c r="C35" s="27"/>
      <c r="D35" s="27"/>
      <c r="E35" s="27"/>
      <c r="F35" s="28" t="str">
        <f t="shared" si="0"/>
        <v/>
      </c>
      <c r="G35" s="28" t="str">
        <f t="shared" si="7"/>
        <v/>
      </c>
      <c r="H35" s="22" t="str">
        <f>IF(COUNT(B35:E35)&gt;1,B35,IF(I35&lt;&gt;"",COUNT($H$13:H34)+1,""))</f>
        <v/>
      </c>
      <c r="I35" s="29" t="str">
        <f t="shared" si="8"/>
        <v/>
      </c>
      <c r="J35" s="30" t="str">
        <f t="shared" si="13"/>
        <v/>
      </c>
      <c r="K35" s="31" t="str">
        <f t="shared" si="9"/>
        <v/>
      </c>
      <c r="O35" s="40">
        <f t="shared" si="10"/>
        <v>46.958999999999996</v>
      </c>
      <c r="P35" s="40">
        <f t="shared" si="11"/>
        <v>46.958999999999996</v>
      </c>
      <c r="R35" s="37">
        <f t="shared" si="1"/>
        <v>48.048999999999999</v>
      </c>
      <c r="S35" s="37">
        <f t="shared" si="2"/>
        <v>1.175</v>
      </c>
      <c r="T35" s="37">
        <f t="shared" si="3"/>
        <v>46.874000000000002</v>
      </c>
      <c r="U35" s="37">
        <f t="shared" si="4"/>
        <v>8.4999999999993747E-2</v>
      </c>
      <c r="V35" s="37" t="str" cm="1">
        <f t="array" ref="V35">IF(I35&lt;&gt;"",_xlfn.IFS(U35&gt;0,"CUT",U35&lt;0,"FALL"),"")</f>
        <v/>
      </c>
      <c r="W35" s="37" t="str">
        <f t="shared" si="5"/>
        <v/>
      </c>
      <c r="X35" s="37" t="str">
        <f>IF(COUNT(C35:E35)&lt;&gt;0,COUNT(B$13:$B34)+1,"")</f>
        <v/>
      </c>
      <c r="Y35" s="37" t="str">
        <f>IF(W35="Turning Point",COUNT(Y$13:$Y34)+1,"")</f>
        <v/>
      </c>
      <c r="Z35" s="37" t="str">
        <f t="shared" si="6"/>
        <v/>
      </c>
      <c r="AB35" s="37" t="str">
        <f>IF(E35&lt;&gt;"",COUNTIF(W$13:$W35,"Turning Point"),"")</f>
        <v/>
      </c>
      <c r="AC35" s="37" t="str">
        <f t="shared" si="12"/>
        <v/>
      </c>
    </row>
    <row r="36" spans="2:29" ht="20.25" customHeight="1" x14ac:dyDescent="0.25">
      <c r="B36" s="26">
        <v>23</v>
      </c>
      <c r="C36" s="27"/>
      <c r="D36" s="27"/>
      <c r="E36" s="27"/>
      <c r="F36" s="28" t="str">
        <f t="shared" si="0"/>
        <v/>
      </c>
      <c r="G36" s="28" t="str">
        <f t="shared" si="7"/>
        <v/>
      </c>
      <c r="H36" s="22" t="str">
        <f>IF(COUNT(B36:E36)&gt;1,B36,IF(I36&lt;&gt;"",COUNT($H$13:H35)+1,""))</f>
        <v/>
      </c>
      <c r="I36" s="29" t="str">
        <f t="shared" si="8"/>
        <v/>
      </c>
      <c r="J36" s="30" t="str">
        <f t="shared" si="13"/>
        <v/>
      </c>
      <c r="K36" s="31" t="str">
        <f t="shared" si="9"/>
        <v/>
      </c>
      <c r="O36" s="40">
        <f t="shared" si="10"/>
        <v>46.958999999999996</v>
      </c>
      <c r="P36" s="40">
        <f t="shared" si="11"/>
        <v>46.958999999999996</v>
      </c>
      <c r="R36" s="37">
        <f t="shared" si="1"/>
        <v>48.048999999999999</v>
      </c>
      <c r="S36" s="37">
        <f t="shared" si="2"/>
        <v>1.175</v>
      </c>
      <c r="T36" s="37">
        <f t="shared" si="3"/>
        <v>46.874000000000002</v>
      </c>
      <c r="U36" s="37">
        <f t="shared" si="4"/>
        <v>8.4999999999993747E-2</v>
      </c>
      <c r="V36" s="37" t="str" cm="1">
        <f t="array" ref="V36">IF(I36&lt;&gt;"",_xlfn.IFS(U36&gt;0,"CUT",U36&lt;0,"FALL"),"")</f>
        <v/>
      </c>
      <c r="W36" s="37" t="str">
        <f t="shared" si="5"/>
        <v/>
      </c>
      <c r="X36" s="37" t="str">
        <f>IF(COUNT(C36:E36)&lt;&gt;0,COUNT(B$13:$B35)+1,"")</f>
        <v/>
      </c>
      <c r="Y36" s="37" t="str">
        <f>IF(W36="Turning Point",COUNT(Y$13:$Y35)+1,"")</f>
        <v/>
      </c>
      <c r="Z36" s="37" t="str">
        <f t="shared" si="6"/>
        <v/>
      </c>
      <c r="AB36" s="37" t="str">
        <f>IF(E36&lt;&gt;"",COUNTIF(W$13:$W36,"Turning Point"),"")</f>
        <v/>
      </c>
      <c r="AC36" s="37" t="str">
        <f t="shared" si="12"/>
        <v/>
      </c>
    </row>
    <row r="37" spans="2:29" ht="20.25" customHeight="1" x14ac:dyDescent="0.25">
      <c r="B37" s="19">
        <v>24</v>
      </c>
      <c r="C37" s="27"/>
      <c r="D37" s="27"/>
      <c r="E37" s="27"/>
      <c r="F37" s="28" t="str">
        <f t="shared" si="0"/>
        <v/>
      </c>
      <c r="G37" s="28" t="str">
        <f t="shared" si="7"/>
        <v/>
      </c>
      <c r="H37" s="22" t="str">
        <f>IF(COUNT(B37:E37)&gt;1,B37,IF(I37&lt;&gt;"",COUNT($H$13:H36)+1,""))</f>
        <v/>
      </c>
      <c r="I37" s="29" t="str">
        <f t="shared" si="8"/>
        <v/>
      </c>
      <c r="J37" s="30" t="str">
        <f t="shared" si="13"/>
        <v/>
      </c>
      <c r="K37" s="31" t="str">
        <f t="shared" si="9"/>
        <v/>
      </c>
      <c r="O37" s="40">
        <f t="shared" si="10"/>
        <v>46.958999999999996</v>
      </c>
      <c r="P37" s="40">
        <f t="shared" si="11"/>
        <v>46.958999999999996</v>
      </c>
      <c r="R37" s="37">
        <f t="shared" si="1"/>
        <v>48.048999999999999</v>
      </c>
      <c r="S37" s="37">
        <f t="shared" si="2"/>
        <v>1.175</v>
      </c>
      <c r="T37" s="37">
        <f t="shared" si="3"/>
        <v>46.874000000000002</v>
      </c>
      <c r="U37" s="37">
        <f t="shared" si="4"/>
        <v>8.4999999999993747E-2</v>
      </c>
      <c r="V37" s="37" t="str" cm="1">
        <f t="array" ref="V37">IF(I37&lt;&gt;"",_xlfn.IFS(U37&gt;0,"CUT",U37&lt;0,"FALL"),"")</f>
        <v/>
      </c>
      <c r="W37" s="37" t="str">
        <f t="shared" si="5"/>
        <v/>
      </c>
      <c r="X37" s="37" t="str">
        <f>IF(COUNT(C37:E37)&lt;&gt;0,COUNT(B$13:$B36)+1,"")</f>
        <v/>
      </c>
      <c r="Y37" s="37" t="str">
        <f>IF(W37="Turning Point",COUNT(Y$13:$Y36)+1,"")</f>
        <v/>
      </c>
      <c r="Z37" s="37" t="str">
        <f t="shared" si="6"/>
        <v/>
      </c>
      <c r="AB37" s="37" t="str">
        <f>IF(E37&lt;&gt;"",COUNTIF(W$13:$W37,"Turning Point"),"")</f>
        <v/>
      </c>
      <c r="AC37" s="37" t="str">
        <f t="shared" si="12"/>
        <v/>
      </c>
    </row>
    <row r="38" spans="2:29" ht="20.25" customHeight="1" x14ac:dyDescent="0.25">
      <c r="B38" s="26">
        <v>25</v>
      </c>
      <c r="C38" s="27"/>
      <c r="D38" s="27"/>
      <c r="E38" s="27"/>
      <c r="F38" s="28" t="str">
        <f t="shared" si="0"/>
        <v/>
      </c>
      <c r="G38" s="28" t="str">
        <f t="shared" si="7"/>
        <v/>
      </c>
      <c r="H38" s="22" t="str">
        <f>IF(COUNT(B38:E38)&gt;1,B38,IF(I38&lt;&gt;"",COUNT($H$13:H37)+1,""))</f>
        <v/>
      </c>
      <c r="I38" s="29" t="str">
        <f t="shared" si="8"/>
        <v/>
      </c>
      <c r="J38" s="30" t="str">
        <f t="shared" si="13"/>
        <v/>
      </c>
      <c r="K38" s="31" t="str">
        <f t="shared" si="9"/>
        <v/>
      </c>
      <c r="O38" s="40">
        <f t="shared" si="10"/>
        <v>46.958999999999996</v>
      </c>
      <c r="P38" s="40">
        <f t="shared" si="11"/>
        <v>46.958999999999996</v>
      </c>
      <c r="R38" s="37">
        <f t="shared" si="1"/>
        <v>48.048999999999999</v>
      </c>
      <c r="S38" s="37">
        <f t="shared" si="2"/>
        <v>1.175</v>
      </c>
      <c r="T38" s="37">
        <f t="shared" si="3"/>
        <v>46.874000000000002</v>
      </c>
      <c r="U38" s="37">
        <f t="shared" si="4"/>
        <v>8.4999999999993747E-2</v>
      </c>
      <c r="V38" s="37" t="str" cm="1">
        <f t="array" ref="V38">IF(I38&lt;&gt;"",_xlfn.IFS(U38&gt;0,"CUT",U38&lt;0,"FALL"),"")</f>
        <v/>
      </c>
      <c r="W38" s="37" t="str">
        <f t="shared" si="5"/>
        <v/>
      </c>
      <c r="X38" s="37" t="str">
        <f>IF(COUNT(C38:E38)&lt;&gt;0,COUNT(B$13:$B37)+1,"")</f>
        <v/>
      </c>
      <c r="Y38" s="37" t="str">
        <f>IF(W38="Turning Point",COUNT(Y$13:$Y37)+1,"")</f>
        <v/>
      </c>
      <c r="Z38" s="37" t="str">
        <f t="shared" si="6"/>
        <v/>
      </c>
      <c r="AB38" s="37" t="str">
        <f>IF(E38&lt;&gt;"",COUNTIF(W$13:$W38,"Turning Point"),"")</f>
        <v/>
      </c>
      <c r="AC38" s="37" t="str">
        <f t="shared" si="12"/>
        <v/>
      </c>
    </row>
    <row r="39" spans="2:29" ht="20.25" customHeight="1" x14ac:dyDescent="0.25">
      <c r="B39" s="19">
        <v>26</v>
      </c>
      <c r="C39" s="27"/>
      <c r="D39" s="27"/>
      <c r="E39" s="27"/>
      <c r="F39" s="28" t="str">
        <f t="shared" si="0"/>
        <v/>
      </c>
      <c r="G39" s="28" t="str">
        <f t="shared" si="7"/>
        <v/>
      </c>
      <c r="H39" s="22" t="str">
        <f>IF(COUNT(B39:E39)&gt;1,B39,IF(I39&lt;&gt;"",COUNT($H$13:H38)+1,""))</f>
        <v/>
      </c>
      <c r="I39" s="29" t="str">
        <f t="shared" si="8"/>
        <v/>
      </c>
      <c r="J39" s="30" t="str">
        <f t="shared" si="13"/>
        <v/>
      </c>
      <c r="K39" s="31" t="str">
        <f t="shared" si="9"/>
        <v/>
      </c>
      <c r="O39" s="40">
        <f t="shared" si="10"/>
        <v>46.958999999999996</v>
      </c>
      <c r="P39" s="40">
        <f t="shared" si="11"/>
        <v>46.958999999999996</v>
      </c>
      <c r="R39" s="37">
        <f t="shared" si="1"/>
        <v>48.048999999999999</v>
      </c>
      <c r="S39" s="37">
        <f t="shared" si="2"/>
        <v>1.175</v>
      </c>
      <c r="T39" s="37">
        <f t="shared" si="3"/>
        <v>46.874000000000002</v>
      </c>
      <c r="U39" s="37">
        <f t="shared" si="4"/>
        <v>8.4999999999993747E-2</v>
      </c>
      <c r="V39" s="37" t="str" cm="1">
        <f t="array" ref="V39">IF(I39&lt;&gt;"",_xlfn.IFS(U39&gt;0,"CUT",U39&lt;0,"FALL"),"")</f>
        <v/>
      </c>
      <c r="W39" s="37" t="str">
        <f t="shared" si="5"/>
        <v/>
      </c>
      <c r="X39" s="37" t="str">
        <f>IF(COUNT(C39:E39)&lt;&gt;0,COUNT(B$13:$B38)+1,"")</f>
        <v/>
      </c>
      <c r="Y39" s="37" t="str">
        <f>IF(W39="Turning Point",COUNT(Y$13:$Y38)+1,"")</f>
        <v/>
      </c>
      <c r="Z39" s="37" t="str">
        <f t="shared" si="6"/>
        <v/>
      </c>
      <c r="AB39" s="37" t="str">
        <f>IF(E39&lt;&gt;"",COUNTIF(W$13:$W39,"Turning Point"),"")</f>
        <v/>
      </c>
      <c r="AC39" s="37" t="str">
        <f t="shared" si="12"/>
        <v/>
      </c>
    </row>
    <row r="40" spans="2:29" ht="20.25" customHeight="1" x14ac:dyDescent="0.25">
      <c r="B40" s="26">
        <v>27</v>
      </c>
      <c r="C40" s="27"/>
      <c r="D40" s="27"/>
      <c r="E40" s="27"/>
      <c r="F40" s="28" t="str">
        <f t="shared" si="0"/>
        <v/>
      </c>
      <c r="G40" s="28" t="str">
        <f t="shared" si="7"/>
        <v/>
      </c>
      <c r="H40" s="22" t="str">
        <f>IF(COUNT(B40:E40)&gt;1,B40,IF(I40&lt;&gt;"",COUNT($H$13:H39)+1,""))</f>
        <v/>
      </c>
      <c r="I40" s="29" t="str">
        <f t="shared" si="8"/>
        <v/>
      </c>
      <c r="J40" s="30" t="str">
        <f t="shared" si="13"/>
        <v/>
      </c>
      <c r="K40" s="31" t="str">
        <f t="shared" si="9"/>
        <v/>
      </c>
      <c r="O40" s="40">
        <f t="shared" si="10"/>
        <v>46.958999999999996</v>
      </c>
      <c r="P40" s="40">
        <f t="shared" si="11"/>
        <v>46.958999999999996</v>
      </c>
      <c r="R40" s="37">
        <f t="shared" si="1"/>
        <v>48.048999999999999</v>
      </c>
      <c r="S40" s="37">
        <f t="shared" si="2"/>
        <v>1.175</v>
      </c>
      <c r="T40" s="37">
        <f t="shared" si="3"/>
        <v>46.874000000000002</v>
      </c>
      <c r="U40" s="37">
        <f t="shared" si="4"/>
        <v>8.4999999999993747E-2</v>
      </c>
      <c r="V40" s="37" t="str" cm="1">
        <f t="array" ref="V40">IF(I40&lt;&gt;"",_xlfn.IFS(U40&gt;0,"CUT",U40&lt;0,"FALL"),"")</f>
        <v/>
      </c>
      <c r="W40" s="37" t="str">
        <f t="shared" si="5"/>
        <v/>
      </c>
      <c r="X40" s="37" t="str">
        <f>IF(COUNT(C40:E40)&lt;&gt;0,COUNT(B$13:$B39)+1,"")</f>
        <v/>
      </c>
      <c r="Y40" s="37" t="str">
        <f>IF(W40="Turning Point",COUNT(Y$13:$Y39)+1,"")</f>
        <v/>
      </c>
      <c r="Z40" s="37" t="str">
        <f t="shared" si="6"/>
        <v/>
      </c>
      <c r="AB40" s="37" t="str">
        <f>IF(E40&lt;&gt;"",COUNTIF(W$13:$W40,"Turning Point"),"")</f>
        <v/>
      </c>
      <c r="AC40" s="37" t="str">
        <f t="shared" si="12"/>
        <v/>
      </c>
    </row>
    <row r="41" spans="2:29" ht="20.25" customHeight="1" x14ac:dyDescent="0.25">
      <c r="B41" s="19">
        <v>28</v>
      </c>
      <c r="C41" s="27"/>
      <c r="D41" s="27"/>
      <c r="E41" s="27"/>
      <c r="F41" s="28" t="str">
        <f t="shared" si="0"/>
        <v/>
      </c>
      <c r="G41" s="28" t="str">
        <f t="shared" si="7"/>
        <v/>
      </c>
      <c r="H41" s="22" t="str">
        <f>IF(COUNT(B41:E41)&gt;1,B41,IF(I41&lt;&gt;"",COUNT($H$13:H40)+1,""))</f>
        <v/>
      </c>
      <c r="I41" s="29" t="str">
        <f t="shared" si="8"/>
        <v/>
      </c>
      <c r="J41" s="30" t="str">
        <f t="shared" si="13"/>
        <v/>
      </c>
      <c r="K41" s="31" t="str">
        <f t="shared" si="9"/>
        <v/>
      </c>
      <c r="O41" s="40">
        <f t="shared" si="10"/>
        <v>46.958999999999996</v>
      </c>
      <c r="P41" s="40">
        <f t="shared" si="11"/>
        <v>46.958999999999996</v>
      </c>
      <c r="R41" s="37">
        <f t="shared" si="1"/>
        <v>48.048999999999999</v>
      </c>
      <c r="S41" s="37">
        <f t="shared" si="2"/>
        <v>1.175</v>
      </c>
      <c r="T41" s="37">
        <f t="shared" si="3"/>
        <v>46.874000000000002</v>
      </c>
      <c r="U41" s="37">
        <f t="shared" si="4"/>
        <v>8.4999999999993747E-2</v>
      </c>
      <c r="V41" s="37" t="str" cm="1">
        <f t="array" ref="V41">IF(I41&lt;&gt;"",_xlfn.IFS(U41&gt;0,"CUT",U41&lt;0,"FALL"),"")</f>
        <v/>
      </c>
      <c r="W41" s="37" t="str">
        <f t="shared" si="5"/>
        <v/>
      </c>
      <c r="X41" s="37" t="str">
        <f>IF(COUNT(C41:E41)&lt;&gt;0,COUNT(B$13:$B40)+1,"")</f>
        <v/>
      </c>
      <c r="Y41" s="37" t="str">
        <f>IF(W41="Turning Point",COUNT(Y$13:$Y40)+1,"")</f>
        <v/>
      </c>
      <c r="Z41" s="37" t="str">
        <f t="shared" si="6"/>
        <v/>
      </c>
      <c r="AB41" s="37" t="str">
        <f>IF(E41&lt;&gt;"",COUNTIF(W$13:$W41,"Turning Point"),"")</f>
        <v/>
      </c>
      <c r="AC41" s="37" t="str">
        <f t="shared" si="12"/>
        <v/>
      </c>
    </row>
    <row r="42" spans="2:29" ht="20.25" customHeight="1" x14ac:dyDescent="0.25">
      <c r="B42" s="26">
        <v>29</v>
      </c>
      <c r="C42" s="27"/>
      <c r="D42" s="27"/>
      <c r="E42" s="27"/>
      <c r="F42" s="28" t="str">
        <f t="shared" si="0"/>
        <v/>
      </c>
      <c r="G42" s="28" t="str">
        <f t="shared" si="7"/>
        <v/>
      </c>
      <c r="H42" s="22" t="str">
        <f>IF(COUNT(B42:E42)&gt;1,B42,IF(I42&lt;&gt;"",COUNT($H$13:H41)+1,""))</f>
        <v/>
      </c>
      <c r="I42" s="29" t="str">
        <f t="shared" si="8"/>
        <v/>
      </c>
      <c r="J42" s="30" t="str">
        <f t="shared" si="13"/>
        <v/>
      </c>
      <c r="K42" s="31" t="str">
        <f t="shared" si="9"/>
        <v/>
      </c>
      <c r="O42" s="40">
        <f t="shared" si="10"/>
        <v>46.958999999999996</v>
      </c>
      <c r="P42" s="40">
        <f t="shared" si="11"/>
        <v>46.958999999999996</v>
      </c>
      <c r="R42" s="37">
        <f t="shared" si="1"/>
        <v>48.048999999999999</v>
      </c>
      <c r="S42" s="37">
        <f t="shared" si="2"/>
        <v>1.175</v>
      </c>
      <c r="T42" s="37">
        <f t="shared" si="3"/>
        <v>46.874000000000002</v>
      </c>
      <c r="U42" s="37">
        <f t="shared" si="4"/>
        <v>8.4999999999993747E-2</v>
      </c>
      <c r="V42" s="37" t="str" cm="1">
        <f t="array" ref="V42">IF(I42&lt;&gt;"",_xlfn.IFS(U42&gt;0,"CUT",U42&lt;0,"FALL"),"")</f>
        <v/>
      </c>
      <c r="W42" s="37" t="str">
        <f t="shared" si="5"/>
        <v/>
      </c>
      <c r="X42" s="37" t="str">
        <f>IF(COUNT(C42:E42)&lt;&gt;0,COUNT(B$13:$B41)+1,"")</f>
        <v/>
      </c>
      <c r="Y42" s="37" t="str">
        <f>IF(W42="Turning Point",COUNT(Y$13:$Y41)+1,"")</f>
        <v/>
      </c>
      <c r="Z42" s="37" t="str">
        <f t="shared" si="6"/>
        <v/>
      </c>
      <c r="AB42" s="37" t="str">
        <f>IF(E42&lt;&gt;"",COUNTIF(W$13:$W42,"Turning Point"),"")</f>
        <v/>
      </c>
      <c r="AC42" s="37" t="str">
        <f t="shared" si="12"/>
        <v/>
      </c>
    </row>
    <row r="43" spans="2:29" ht="20.25" customHeight="1" x14ac:dyDescent="0.25">
      <c r="B43" s="19">
        <v>30</v>
      </c>
      <c r="C43" s="27"/>
      <c r="D43" s="27"/>
      <c r="E43" s="27"/>
      <c r="F43" s="28" t="str">
        <f t="shared" si="0"/>
        <v/>
      </c>
      <c r="G43" s="28" t="str">
        <f t="shared" si="7"/>
        <v/>
      </c>
      <c r="H43" s="22" t="str">
        <f>IF(COUNT(B43:E43)&gt;1,B43,IF(I43&lt;&gt;"",COUNT($H$13:H42)+1,""))</f>
        <v/>
      </c>
      <c r="I43" s="29" t="str">
        <f t="shared" si="8"/>
        <v/>
      </c>
      <c r="J43" s="30" t="str">
        <f t="shared" si="13"/>
        <v/>
      </c>
      <c r="K43" s="31" t="str">
        <f t="shared" si="9"/>
        <v/>
      </c>
      <c r="O43" s="40">
        <f t="shared" si="10"/>
        <v>46.958999999999996</v>
      </c>
      <c r="P43" s="40">
        <f t="shared" si="11"/>
        <v>46.958999999999996</v>
      </c>
      <c r="R43" s="37">
        <f t="shared" si="1"/>
        <v>48.048999999999999</v>
      </c>
      <c r="S43" s="37">
        <f t="shared" si="2"/>
        <v>1.175</v>
      </c>
      <c r="T43" s="37">
        <f t="shared" si="3"/>
        <v>46.874000000000002</v>
      </c>
      <c r="U43" s="37">
        <f t="shared" si="4"/>
        <v>8.4999999999993747E-2</v>
      </c>
      <c r="V43" s="37" t="str" cm="1">
        <f t="array" ref="V43">IF(I43&lt;&gt;"",_xlfn.IFS(U43&gt;0,"CUT",U43&lt;0,"FALL"),"")</f>
        <v/>
      </c>
      <c r="W43" s="37" t="str">
        <f t="shared" si="5"/>
        <v/>
      </c>
      <c r="X43" s="37" t="str">
        <f>IF(COUNT(C43:E43)&lt;&gt;0,COUNT(B$13:$B42)+1,"")</f>
        <v/>
      </c>
      <c r="Y43" s="37" t="str">
        <f>IF(W43="Turning Point",COUNT(Y$13:$Y42)+1,"")</f>
        <v/>
      </c>
      <c r="Z43" s="37" t="str">
        <f t="shared" si="6"/>
        <v/>
      </c>
      <c r="AB43" s="37" t="str">
        <f>IF(E43&lt;&gt;"",COUNTIF(W$13:$W43,"Turning Point"),"")</f>
        <v/>
      </c>
      <c r="AC43" s="37" t="str">
        <f t="shared" si="12"/>
        <v/>
      </c>
    </row>
    <row r="44" spans="2:29" ht="20.25" customHeight="1" x14ac:dyDescent="0.25">
      <c r="B44" s="26">
        <v>31</v>
      </c>
      <c r="C44" s="27"/>
      <c r="D44" s="27"/>
      <c r="E44" s="27"/>
      <c r="F44" s="28" t="str">
        <f t="shared" si="0"/>
        <v/>
      </c>
      <c r="G44" s="28" t="str">
        <f t="shared" si="7"/>
        <v/>
      </c>
      <c r="H44" s="22" t="str">
        <f>IF(COUNT(B44:E44)&gt;1,B44,IF(I44&lt;&gt;"",COUNT($H$13:H43)+1,""))</f>
        <v/>
      </c>
      <c r="I44" s="29" t="str">
        <f t="shared" si="8"/>
        <v/>
      </c>
      <c r="J44" s="30" t="str">
        <f t="shared" si="13"/>
        <v/>
      </c>
      <c r="K44" s="31" t="str">
        <f t="shared" si="9"/>
        <v/>
      </c>
      <c r="O44" s="40">
        <f t="shared" si="10"/>
        <v>46.958999999999996</v>
      </c>
      <c r="P44" s="40">
        <f t="shared" si="11"/>
        <v>46.958999999999996</v>
      </c>
      <c r="R44" s="37">
        <f t="shared" si="1"/>
        <v>48.048999999999999</v>
      </c>
      <c r="S44" s="37">
        <f t="shared" si="2"/>
        <v>1.175</v>
      </c>
      <c r="T44" s="37">
        <f t="shared" si="3"/>
        <v>46.874000000000002</v>
      </c>
      <c r="U44" s="37">
        <f t="shared" si="4"/>
        <v>8.4999999999993747E-2</v>
      </c>
      <c r="V44" s="37" t="str" cm="1">
        <f t="array" ref="V44">IF(I44&lt;&gt;"",_xlfn.IFS(U44&gt;0,"CUT",U44&lt;0,"FALL"),"")</f>
        <v/>
      </c>
      <c r="W44" s="37" t="str">
        <f t="shared" si="5"/>
        <v/>
      </c>
      <c r="X44" s="37" t="str">
        <f>IF(COUNT(C44:E44)&lt;&gt;0,COUNT(B$13:$B43)+1,"")</f>
        <v/>
      </c>
      <c r="Y44" s="37" t="str">
        <f>IF(W44="Turning Point",COUNT(Y$13:$Y43)+1,"")</f>
        <v/>
      </c>
      <c r="Z44" s="37" t="str">
        <f t="shared" si="6"/>
        <v/>
      </c>
      <c r="AB44" s="37" t="str">
        <f>IF(E44&lt;&gt;"",COUNTIF(W$13:$W44,"Turning Point"),"")</f>
        <v/>
      </c>
      <c r="AC44" s="37" t="str">
        <f t="shared" si="12"/>
        <v/>
      </c>
    </row>
    <row r="45" spans="2:29" ht="20.25" customHeight="1" x14ac:dyDescent="0.25">
      <c r="B45" s="19">
        <v>32</v>
      </c>
      <c r="C45" s="27"/>
      <c r="D45" s="27"/>
      <c r="E45" s="27"/>
      <c r="F45" s="28" t="str">
        <f t="shared" si="0"/>
        <v/>
      </c>
      <c r="G45" s="28" t="str">
        <f t="shared" si="7"/>
        <v/>
      </c>
      <c r="H45" s="22" t="str">
        <f>IF(COUNT(B45:E45)&gt;1,B45,IF(I45&lt;&gt;"",COUNT($H$13:H44)+1,""))</f>
        <v/>
      </c>
      <c r="I45" s="29" t="str">
        <f t="shared" si="8"/>
        <v/>
      </c>
      <c r="J45" s="30" t="str">
        <f t="shared" si="13"/>
        <v/>
      </c>
      <c r="K45" s="31" t="str">
        <f t="shared" si="9"/>
        <v/>
      </c>
      <c r="O45" s="40">
        <f t="shared" si="10"/>
        <v>46.958999999999996</v>
      </c>
      <c r="P45" s="40">
        <f t="shared" si="11"/>
        <v>46.958999999999996</v>
      </c>
      <c r="R45" s="37">
        <f t="shared" si="1"/>
        <v>48.048999999999999</v>
      </c>
      <c r="S45" s="37">
        <f t="shared" si="2"/>
        <v>1.175</v>
      </c>
      <c r="T45" s="37">
        <f t="shared" si="3"/>
        <v>46.874000000000002</v>
      </c>
      <c r="U45" s="37">
        <f t="shared" si="4"/>
        <v>8.4999999999993747E-2</v>
      </c>
      <c r="V45" s="37" t="str" cm="1">
        <f t="array" ref="V45">IF(I45&lt;&gt;"",_xlfn.IFS(U45&gt;0,"CUT",U45&lt;0,"FALL"),"")</f>
        <v/>
      </c>
      <c r="W45" s="37" t="str">
        <f t="shared" si="5"/>
        <v/>
      </c>
      <c r="X45" s="37" t="str">
        <f>IF(COUNT(C45:E45)&lt;&gt;0,COUNT(B$13:$B44)+1,"")</f>
        <v/>
      </c>
      <c r="Y45" s="37" t="str">
        <f>IF(W45="Turning Point",COUNT(Y$13:$Y44)+1,"")</f>
        <v/>
      </c>
      <c r="Z45" s="37" t="str">
        <f t="shared" si="6"/>
        <v/>
      </c>
      <c r="AB45" s="37" t="str">
        <f>IF(E45&lt;&gt;"",COUNTIF(W$13:$W45,"Turning Point"),"")</f>
        <v/>
      </c>
      <c r="AC45" s="37" t="str">
        <f t="shared" si="12"/>
        <v/>
      </c>
    </row>
    <row r="46" spans="2:29" ht="20.25" customHeight="1" x14ac:dyDescent="0.25">
      <c r="B46" s="26">
        <v>33</v>
      </c>
      <c r="C46" s="27"/>
      <c r="D46" s="27"/>
      <c r="E46" s="27"/>
      <c r="F46" s="28" t="str">
        <f t="shared" ref="F46:F73" si="14">IF(C46="","",O46)</f>
        <v/>
      </c>
      <c r="G46" s="28" t="str">
        <f t="shared" si="7"/>
        <v/>
      </c>
      <c r="H46" s="22" t="str">
        <f>IF(COUNT(B46:E46)&gt;1,B46,IF(I46&lt;&gt;"",COUNT($H$13:H45)+1,""))</f>
        <v/>
      </c>
      <c r="I46" s="29" t="str">
        <f t="shared" si="8"/>
        <v/>
      </c>
      <c r="J46" s="30" t="str">
        <f t="shared" si="13"/>
        <v/>
      </c>
      <c r="K46" s="31" t="str">
        <f t="shared" si="9"/>
        <v/>
      </c>
      <c r="O46" s="40">
        <f t="shared" si="10"/>
        <v>46.958999999999996</v>
      </c>
      <c r="P46" s="40">
        <f t="shared" si="11"/>
        <v>46.958999999999996</v>
      </c>
      <c r="R46" s="37">
        <f t="shared" si="1"/>
        <v>48.048999999999999</v>
      </c>
      <c r="S46" s="37">
        <f t="shared" si="2"/>
        <v>1.175</v>
      </c>
      <c r="T46" s="37">
        <f t="shared" si="3"/>
        <v>46.874000000000002</v>
      </c>
      <c r="U46" s="37">
        <f t="shared" si="4"/>
        <v>8.4999999999993747E-2</v>
      </c>
      <c r="V46" s="37" t="str" cm="1">
        <f t="array" ref="V46">IF(I46&lt;&gt;"",_xlfn.IFS(U46&gt;0,"CUT",U46&lt;0,"FALL"),"")</f>
        <v/>
      </c>
      <c r="W46" s="37" t="str">
        <f t="shared" si="5"/>
        <v/>
      </c>
      <c r="X46" s="37" t="str">
        <f>IF(COUNT(C46:E46)&lt;&gt;0,COUNT(B$13:$B45)+1,"")</f>
        <v/>
      </c>
      <c r="Y46" s="37" t="str">
        <f>IF(W46="Turning Point",COUNT(Y$13:$Y45)+1,"")</f>
        <v/>
      </c>
      <c r="Z46" s="37" t="str">
        <f t="shared" si="6"/>
        <v/>
      </c>
      <c r="AB46" s="37" t="str">
        <f>IF(E46&lt;&gt;"",COUNTIF(W$13:$W46,"Turning Point"),"")</f>
        <v/>
      </c>
      <c r="AC46" s="37" t="str">
        <f t="shared" si="12"/>
        <v/>
      </c>
    </row>
    <row r="47" spans="2:29" ht="20.25" customHeight="1" x14ac:dyDescent="0.25">
      <c r="B47" s="19">
        <v>34</v>
      </c>
      <c r="C47" s="27"/>
      <c r="D47" s="27"/>
      <c r="E47" s="27"/>
      <c r="F47" s="28" t="str">
        <f t="shared" si="14"/>
        <v/>
      </c>
      <c r="G47" s="28" t="str">
        <f t="shared" ref="G47:G73" si="15">IF(AND(C47="",D47="",E47=""),"",P47)</f>
        <v/>
      </c>
      <c r="H47" s="22" t="str">
        <f>IF(COUNT(B47:E47)&gt;1,B47,IF(I47&lt;&gt;"",COUNT($H$13:H46)+1,""))</f>
        <v/>
      </c>
      <c r="I47" s="29" t="str">
        <f t="shared" ref="I47:I73" si="16">IF(COUNT(C47:E47)&gt;0,U47,"")</f>
        <v/>
      </c>
      <c r="J47" s="30" t="str">
        <f t="shared" si="13"/>
        <v/>
      </c>
      <c r="K47" s="31" t="str">
        <f t="shared" si="9"/>
        <v/>
      </c>
      <c r="O47" s="40">
        <f t="shared" ref="O47:O73" si="17">P47+D47+C47</f>
        <v>46.958999999999996</v>
      </c>
      <c r="P47" s="40">
        <f t="shared" ref="P47:P73" si="18">O46-D47-E47</f>
        <v>46.958999999999996</v>
      </c>
      <c r="R47" s="37">
        <f t="shared" ref="R47:R73" si="19">IF(C47="",R46,F47)</f>
        <v>48.048999999999999</v>
      </c>
      <c r="S47" s="37">
        <f t="shared" ref="S47:S73" si="20">IF(C47="",S46,C47)</f>
        <v>1.175</v>
      </c>
      <c r="T47" s="37">
        <f t="shared" si="3"/>
        <v>46.874000000000002</v>
      </c>
      <c r="U47" s="37">
        <f t="shared" si="4"/>
        <v>8.4999999999993747E-2</v>
      </c>
      <c r="V47" s="37" t="str" cm="1">
        <f t="array" ref="V47">IF(I47&lt;&gt;"",_xlfn.IFS(U47&gt;0,"CUT",U47&lt;0,"FALL"),"")</f>
        <v/>
      </c>
      <c r="W47" s="37" t="str">
        <f t="shared" si="5"/>
        <v/>
      </c>
      <c r="X47" s="37" t="str">
        <f>IF(COUNT(C47:E47)&lt;&gt;0,COUNT(B$13:$B46)+1,"")</f>
        <v/>
      </c>
      <c r="Y47" s="37" t="str">
        <f>IF(W47="Turning Point",COUNT(Y$13:$Y46)+1,"")</f>
        <v/>
      </c>
      <c r="Z47" s="37" t="str">
        <f t="shared" si="6"/>
        <v/>
      </c>
      <c r="AB47" s="37" t="str">
        <f>IF(E47&lt;&gt;"",COUNTIF(W$13:$W47,"Turning Point"),"")</f>
        <v/>
      </c>
      <c r="AC47" s="37" t="str">
        <f t="shared" si="12"/>
        <v/>
      </c>
    </row>
    <row r="48" spans="2:29" ht="20.25" customHeight="1" x14ac:dyDescent="0.25">
      <c r="B48" s="26">
        <v>35</v>
      </c>
      <c r="C48" s="27"/>
      <c r="D48" s="27"/>
      <c r="E48" s="27"/>
      <c r="F48" s="28" t="str">
        <f t="shared" si="14"/>
        <v/>
      </c>
      <c r="G48" s="28" t="str">
        <f t="shared" si="15"/>
        <v/>
      </c>
      <c r="H48" s="22" t="str">
        <f>IF(COUNT(B48:E48)&gt;1,B48,IF(I48&lt;&gt;"",COUNT($H$13:H47)+1,""))</f>
        <v/>
      </c>
      <c r="I48" s="29" t="str">
        <f t="shared" si="16"/>
        <v/>
      </c>
      <c r="J48" s="30" t="str">
        <f t="shared" si="13"/>
        <v/>
      </c>
      <c r="K48" s="31" t="str">
        <f t="shared" si="9"/>
        <v/>
      </c>
      <c r="O48" s="40">
        <f t="shared" si="17"/>
        <v>46.958999999999996</v>
      </c>
      <c r="P48" s="40">
        <f t="shared" si="18"/>
        <v>46.958999999999996</v>
      </c>
      <c r="R48" s="37">
        <f t="shared" si="19"/>
        <v>48.048999999999999</v>
      </c>
      <c r="S48" s="37">
        <f t="shared" si="20"/>
        <v>1.175</v>
      </c>
      <c r="T48" s="37">
        <f t="shared" si="3"/>
        <v>46.874000000000002</v>
      </c>
      <c r="U48" s="37">
        <f t="shared" si="4"/>
        <v>8.4999999999993747E-2</v>
      </c>
      <c r="V48" s="37" t="str" cm="1">
        <f t="array" ref="V48">IF(I48&lt;&gt;"",_xlfn.IFS(U48&gt;0,"CUT",U48&lt;0,"FALL"),"")</f>
        <v/>
      </c>
      <c r="W48" s="37" t="str">
        <f t="shared" si="5"/>
        <v/>
      </c>
      <c r="X48" s="37" t="str">
        <f>IF(COUNT(C48:E48)&lt;&gt;0,COUNT(B$13:$B47)+1,"")</f>
        <v/>
      </c>
      <c r="Y48" s="37" t="str">
        <f>IF(W48="Turning Point",COUNT(Y$13:$Y47)+1,"")</f>
        <v/>
      </c>
      <c r="Z48" s="37" t="str">
        <f t="shared" si="6"/>
        <v/>
      </c>
      <c r="AB48" s="37" t="str">
        <f>IF(E48&lt;&gt;"",COUNTIF(W$13:$W48,"Turning Point"),"")</f>
        <v/>
      </c>
      <c r="AC48" s="37" t="str">
        <f t="shared" si="12"/>
        <v/>
      </c>
    </row>
    <row r="49" spans="2:29" ht="20.25" customHeight="1" x14ac:dyDescent="0.25">
      <c r="B49" s="19">
        <v>36</v>
      </c>
      <c r="C49" s="27"/>
      <c r="D49" s="27"/>
      <c r="E49" s="27"/>
      <c r="F49" s="28" t="str">
        <f t="shared" si="14"/>
        <v/>
      </c>
      <c r="G49" s="28" t="str">
        <f t="shared" si="15"/>
        <v/>
      </c>
      <c r="H49" s="22" t="str">
        <f>IF(COUNT(B49:E49)&gt;1,B49,IF(I49&lt;&gt;"",COUNT($H$13:H48)+1,""))</f>
        <v/>
      </c>
      <c r="I49" s="29" t="str">
        <f t="shared" si="16"/>
        <v/>
      </c>
      <c r="J49" s="30" t="str">
        <f t="shared" si="13"/>
        <v/>
      </c>
      <c r="K49" s="31" t="str">
        <f t="shared" si="9"/>
        <v/>
      </c>
      <c r="O49" s="40">
        <f t="shared" si="17"/>
        <v>46.958999999999996</v>
      </c>
      <c r="P49" s="40">
        <f t="shared" si="18"/>
        <v>46.958999999999996</v>
      </c>
      <c r="R49" s="37">
        <f t="shared" si="19"/>
        <v>48.048999999999999</v>
      </c>
      <c r="S49" s="37">
        <f t="shared" si="20"/>
        <v>1.175</v>
      </c>
      <c r="T49" s="37">
        <f t="shared" si="3"/>
        <v>46.874000000000002</v>
      </c>
      <c r="U49" s="37">
        <f t="shared" si="4"/>
        <v>8.4999999999993747E-2</v>
      </c>
      <c r="V49" s="37" t="str" cm="1">
        <f t="array" ref="V49">IF(I49&lt;&gt;"",_xlfn.IFS(U49&gt;0,"CUT",U49&lt;0,"FALL"),"")</f>
        <v/>
      </c>
      <c r="W49" s="37" t="str">
        <f t="shared" si="5"/>
        <v/>
      </c>
      <c r="X49" s="37" t="str">
        <f>IF(COUNT(C49:E49)&lt;&gt;0,COUNT(B$13:$B48)+1,"")</f>
        <v/>
      </c>
      <c r="Y49" s="37" t="str">
        <f>IF(W49="Turning Point",COUNT(Y$13:$Y48)+1,"")</f>
        <v/>
      </c>
      <c r="Z49" s="37" t="str">
        <f t="shared" si="6"/>
        <v/>
      </c>
      <c r="AB49" s="37" t="str">
        <f>IF(E49&lt;&gt;"",COUNTIF(W$13:$W49,"Turning Point"),"")</f>
        <v/>
      </c>
      <c r="AC49" s="37" t="str">
        <f t="shared" si="12"/>
        <v/>
      </c>
    </row>
    <row r="50" spans="2:29" ht="20.25" customHeight="1" x14ac:dyDescent="0.25">
      <c r="B50" s="26">
        <v>37</v>
      </c>
      <c r="C50" s="27"/>
      <c r="D50" s="27"/>
      <c r="E50" s="27"/>
      <c r="F50" s="28" t="str">
        <f t="shared" si="14"/>
        <v/>
      </c>
      <c r="G50" s="28" t="str">
        <f t="shared" si="15"/>
        <v/>
      </c>
      <c r="H50" s="22" t="str">
        <f>IF(COUNT(B50:E50)&gt;1,B50,IF(I50&lt;&gt;"",COUNT($H$13:H49)+1,""))</f>
        <v/>
      </c>
      <c r="I50" s="29" t="str">
        <f t="shared" si="16"/>
        <v/>
      </c>
      <c r="J50" s="30" t="str">
        <f t="shared" si="13"/>
        <v/>
      </c>
      <c r="K50" s="31" t="str">
        <f t="shared" si="9"/>
        <v/>
      </c>
      <c r="O50" s="40">
        <f t="shared" si="17"/>
        <v>46.958999999999996</v>
      </c>
      <c r="P50" s="40">
        <f t="shared" si="18"/>
        <v>46.958999999999996</v>
      </c>
      <c r="R50" s="37">
        <f t="shared" si="19"/>
        <v>48.048999999999999</v>
      </c>
      <c r="S50" s="37">
        <f t="shared" si="20"/>
        <v>1.175</v>
      </c>
      <c r="T50" s="37">
        <f t="shared" si="3"/>
        <v>46.874000000000002</v>
      </c>
      <c r="U50" s="37">
        <f t="shared" si="4"/>
        <v>8.4999999999993747E-2</v>
      </c>
      <c r="V50" s="37" t="str" cm="1">
        <f t="array" ref="V50">IF(I50&lt;&gt;"",_xlfn.IFS(U50&gt;0,"CUT",U50&lt;0,"FALL"),"")</f>
        <v/>
      </c>
      <c r="W50" s="37" t="str">
        <f t="shared" si="5"/>
        <v/>
      </c>
      <c r="X50" s="37" t="str">
        <f>IF(COUNT(C50:E50)&lt;&gt;0,COUNT(B$13:$B49)+1,"")</f>
        <v/>
      </c>
      <c r="Y50" s="37" t="str">
        <f>IF(W50="Turning Point",COUNT(Y$13:$Y49)+1,"")</f>
        <v/>
      </c>
      <c r="Z50" s="37" t="str">
        <f t="shared" si="6"/>
        <v/>
      </c>
      <c r="AB50" s="37" t="str">
        <f>IF(E50&lt;&gt;"",COUNTIF(W$13:$W50,"Turning Point"),"")</f>
        <v/>
      </c>
      <c r="AC50" s="37" t="str">
        <f t="shared" si="12"/>
        <v/>
      </c>
    </row>
    <row r="51" spans="2:29" ht="20.25" customHeight="1" x14ac:dyDescent="0.25">
      <c r="B51" s="19">
        <v>38</v>
      </c>
      <c r="C51" s="27"/>
      <c r="D51" s="27"/>
      <c r="E51" s="27"/>
      <c r="F51" s="28" t="str">
        <f t="shared" si="14"/>
        <v/>
      </c>
      <c r="G51" s="28" t="str">
        <f t="shared" si="15"/>
        <v/>
      </c>
      <c r="H51" s="22" t="str">
        <f>IF(COUNT(B51:E51)&gt;1,B51,IF(I51&lt;&gt;"",COUNT($H$13:H50)+1,""))</f>
        <v/>
      </c>
      <c r="I51" s="29" t="str">
        <f t="shared" si="16"/>
        <v/>
      </c>
      <c r="J51" s="30" t="str">
        <f t="shared" si="13"/>
        <v/>
      </c>
      <c r="K51" s="31" t="str">
        <f t="shared" si="9"/>
        <v/>
      </c>
      <c r="O51" s="40">
        <f t="shared" si="17"/>
        <v>46.958999999999996</v>
      </c>
      <c r="P51" s="40">
        <f t="shared" si="18"/>
        <v>46.958999999999996</v>
      </c>
      <c r="R51" s="37">
        <f t="shared" si="19"/>
        <v>48.048999999999999</v>
      </c>
      <c r="S51" s="37">
        <f t="shared" si="20"/>
        <v>1.175</v>
      </c>
      <c r="T51" s="37">
        <f t="shared" si="3"/>
        <v>46.874000000000002</v>
      </c>
      <c r="U51" s="37">
        <f t="shared" si="4"/>
        <v>8.4999999999993747E-2</v>
      </c>
      <c r="V51" s="37" t="str" cm="1">
        <f t="array" ref="V51">IF(I51&lt;&gt;"",_xlfn.IFS(U51&gt;0,"CUT",U51&lt;0,"FALL"),"")</f>
        <v/>
      </c>
      <c r="W51" s="37" t="str">
        <f t="shared" si="5"/>
        <v/>
      </c>
      <c r="X51" s="37" t="str">
        <f>IF(COUNT(C51:E51)&lt;&gt;0,COUNT(B$13:$B50)+1,"")</f>
        <v/>
      </c>
      <c r="Y51" s="37" t="str">
        <f>IF(W51="Turning Point",COUNT(Y$13:$Y50)+1,"")</f>
        <v/>
      </c>
      <c r="Z51" s="37" t="str">
        <f t="shared" si="6"/>
        <v/>
      </c>
      <c r="AB51" s="37" t="str">
        <f>IF(E51&lt;&gt;"",COUNTIF(W$13:$W51,"Turning Point"),"")</f>
        <v/>
      </c>
      <c r="AC51" s="37" t="str">
        <f t="shared" si="12"/>
        <v/>
      </c>
    </row>
    <row r="52" spans="2:29" ht="20.25" customHeight="1" x14ac:dyDescent="0.25">
      <c r="B52" s="26">
        <v>39</v>
      </c>
      <c r="C52" s="27"/>
      <c r="D52" s="27"/>
      <c r="E52" s="27"/>
      <c r="F52" s="28" t="str">
        <f t="shared" si="14"/>
        <v/>
      </c>
      <c r="G52" s="28" t="str">
        <f t="shared" si="15"/>
        <v/>
      </c>
      <c r="H52" s="22" t="str">
        <f>IF(COUNT(B52:E52)&gt;1,B52,IF(I52&lt;&gt;"",COUNT($H$13:H51)+1,""))</f>
        <v/>
      </c>
      <c r="I52" s="29" t="str">
        <f t="shared" si="16"/>
        <v/>
      </c>
      <c r="J52" s="30" t="str">
        <f t="shared" si="13"/>
        <v/>
      </c>
      <c r="K52" s="31" t="str">
        <f t="shared" si="9"/>
        <v/>
      </c>
      <c r="O52" s="40">
        <f t="shared" si="17"/>
        <v>46.958999999999996</v>
      </c>
      <c r="P52" s="40">
        <f t="shared" si="18"/>
        <v>46.958999999999996</v>
      </c>
      <c r="R52" s="37">
        <f t="shared" si="19"/>
        <v>48.048999999999999</v>
      </c>
      <c r="S52" s="37">
        <f t="shared" si="20"/>
        <v>1.175</v>
      </c>
      <c r="T52" s="37">
        <f t="shared" si="3"/>
        <v>46.874000000000002</v>
      </c>
      <c r="U52" s="37">
        <f t="shared" si="4"/>
        <v>8.4999999999993747E-2</v>
      </c>
      <c r="V52" s="37" t="str" cm="1">
        <f t="array" ref="V52">IF(I52&lt;&gt;"",_xlfn.IFS(U52&gt;0,"CUT",U52&lt;0,"FALL"),"")</f>
        <v/>
      </c>
      <c r="W52" s="37" t="str">
        <f t="shared" si="5"/>
        <v/>
      </c>
      <c r="X52" s="37" t="str">
        <f>IF(COUNT(C52:E52)&lt;&gt;0,COUNT(B$13:$B51)+1,"")</f>
        <v/>
      </c>
      <c r="Y52" s="37" t="str">
        <f>IF(W52="Turning Point",COUNT(Y$13:$Y51)+1,"")</f>
        <v/>
      </c>
      <c r="Z52" s="37" t="str">
        <f t="shared" si="6"/>
        <v/>
      </c>
      <c r="AB52" s="37" t="str">
        <f>IF(E52&lt;&gt;"",COUNTIF(W$13:$W52,"Turning Point"),"")</f>
        <v/>
      </c>
      <c r="AC52" s="37" t="str">
        <f t="shared" si="12"/>
        <v/>
      </c>
    </row>
    <row r="53" spans="2:29" ht="20.25" customHeight="1" x14ac:dyDescent="0.25">
      <c r="B53" s="19">
        <v>40</v>
      </c>
      <c r="C53" s="27"/>
      <c r="D53" s="27"/>
      <c r="E53" s="27"/>
      <c r="F53" s="28" t="str">
        <f t="shared" si="14"/>
        <v/>
      </c>
      <c r="G53" s="28" t="str">
        <f t="shared" si="15"/>
        <v/>
      </c>
      <c r="H53" s="22" t="str">
        <f>IF(COUNT(B53:E53)&gt;1,B53,IF(I53&lt;&gt;"",COUNT($H$13:H52)+1,""))</f>
        <v/>
      </c>
      <c r="I53" s="29" t="str">
        <f t="shared" si="16"/>
        <v/>
      </c>
      <c r="J53" s="30" t="str">
        <f t="shared" si="13"/>
        <v/>
      </c>
      <c r="K53" s="31" t="str">
        <f t="shared" si="9"/>
        <v/>
      </c>
      <c r="O53" s="40">
        <f t="shared" si="17"/>
        <v>46.958999999999996</v>
      </c>
      <c r="P53" s="40">
        <f t="shared" si="18"/>
        <v>46.958999999999996</v>
      </c>
      <c r="R53" s="37">
        <f t="shared" si="19"/>
        <v>48.048999999999999</v>
      </c>
      <c r="S53" s="37">
        <f t="shared" si="20"/>
        <v>1.175</v>
      </c>
      <c r="T53" s="37">
        <f t="shared" si="3"/>
        <v>46.874000000000002</v>
      </c>
      <c r="U53" s="37">
        <f t="shared" si="4"/>
        <v>8.4999999999993747E-2</v>
      </c>
      <c r="V53" s="37" t="str" cm="1">
        <f t="array" ref="V53">IF(I53&lt;&gt;"",_xlfn.IFS(U53&gt;0,"CUT",U53&lt;0,"FALL"),"")</f>
        <v/>
      </c>
      <c r="W53" s="37" t="str">
        <f t="shared" si="5"/>
        <v/>
      </c>
      <c r="X53" s="37" t="str">
        <f>IF(COUNT(C53:E53)&lt;&gt;0,COUNT(B$13:$B52)+1,"")</f>
        <v/>
      </c>
      <c r="Y53" s="37" t="str">
        <f>IF(W53="Turning Point",COUNT(Y$13:$Y52)+1,"")</f>
        <v/>
      </c>
      <c r="Z53" s="37" t="str">
        <f t="shared" si="6"/>
        <v/>
      </c>
      <c r="AB53" s="37" t="str">
        <f>IF(E53&lt;&gt;"",COUNTIF(W$13:$W53,"Turning Point"),"")</f>
        <v/>
      </c>
      <c r="AC53" s="37" t="str">
        <f t="shared" si="12"/>
        <v/>
      </c>
    </row>
    <row r="54" spans="2:29" ht="20.25" customHeight="1" x14ac:dyDescent="0.25">
      <c r="B54" s="26">
        <v>41</v>
      </c>
      <c r="C54" s="27"/>
      <c r="D54" s="27"/>
      <c r="E54" s="27"/>
      <c r="F54" s="28" t="str">
        <f t="shared" si="14"/>
        <v/>
      </c>
      <c r="G54" s="28" t="str">
        <f t="shared" si="15"/>
        <v/>
      </c>
      <c r="H54" s="22" t="str">
        <f>IF(COUNT(B54:E54)&gt;1,B54,IF(I54&lt;&gt;"",COUNT($H$13:H53)+1,""))</f>
        <v/>
      </c>
      <c r="I54" s="29" t="str">
        <f t="shared" si="16"/>
        <v/>
      </c>
      <c r="J54" s="30" t="str">
        <f t="shared" si="13"/>
        <v/>
      </c>
      <c r="K54" s="31" t="str">
        <f t="shared" si="9"/>
        <v/>
      </c>
      <c r="O54" s="40">
        <f t="shared" si="17"/>
        <v>46.958999999999996</v>
      </c>
      <c r="P54" s="40">
        <f t="shared" si="18"/>
        <v>46.958999999999996</v>
      </c>
      <c r="R54" s="37">
        <f t="shared" si="19"/>
        <v>48.048999999999999</v>
      </c>
      <c r="S54" s="37">
        <f t="shared" si="20"/>
        <v>1.175</v>
      </c>
      <c r="T54" s="37">
        <f t="shared" si="3"/>
        <v>46.874000000000002</v>
      </c>
      <c r="U54" s="37">
        <f t="shared" si="4"/>
        <v>8.4999999999993747E-2</v>
      </c>
      <c r="V54" s="37" t="str" cm="1">
        <f t="array" ref="V54">IF(I54&lt;&gt;"",_xlfn.IFS(U54&gt;0,"CUT",U54&lt;0,"FALL"),"")</f>
        <v/>
      </c>
      <c r="W54" s="37" t="str">
        <f t="shared" si="5"/>
        <v/>
      </c>
      <c r="X54" s="37" t="str">
        <f>IF(COUNT(C54:E54)&lt;&gt;0,COUNT(B$13:$B53)+1,"")</f>
        <v/>
      </c>
      <c r="Y54" s="37" t="str">
        <f>IF(W54="Turning Point",COUNT(Y$13:$Y53)+1,"")</f>
        <v/>
      </c>
      <c r="Z54" s="37" t="str">
        <f t="shared" si="6"/>
        <v/>
      </c>
      <c r="AB54" s="37" t="str">
        <f>IF(E54&lt;&gt;"",COUNTIF(W$13:$W54,"Turning Point"),"")</f>
        <v/>
      </c>
      <c r="AC54" s="37" t="str">
        <f t="shared" si="12"/>
        <v/>
      </c>
    </row>
    <row r="55" spans="2:29" ht="20.25" customHeight="1" x14ac:dyDescent="0.25">
      <c r="B55" s="19">
        <v>42</v>
      </c>
      <c r="C55" s="27"/>
      <c r="D55" s="27"/>
      <c r="E55" s="27"/>
      <c r="F55" s="28" t="str">
        <f t="shared" si="14"/>
        <v/>
      </c>
      <c r="G55" s="28" t="str">
        <f t="shared" si="15"/>
        <v/>
      </c>
      <c r="H55" s="22" t="str">
        <f>IF(COUNT(B55:E55)&gt;1,B55,IF(I55&lt;&gt;"",COUNT($H$13:H54)+1,""))</f>
        <v/>
      </c>
      <c r="I55" s="29" t="str">
        <f t="shared" si="16"/>
        <v/>
      </c>
      <c r="J55" s="30" t="str">
        <f t="shared" si="13"/>
        <v/>
      </c>
      <c r="K55" s="31" t="str">
        <f t="shared" si="9"/>
        <v/>
      </c>
      <c r="O55" s="40">
        <f t="shared" si="17"/>
        <v>46.958999999999996</v>
      </c>
      <c r="P55" s="40">
        <f t="shared" si="18"/>
        <v>46.958999999999996</v>
      </c>
      <c r="R55" s="37">
        <f t="shared" si="19"/>
        <v>48.048999999999999</v>
      </c>
      <c r="S55" s="37">
        <f t="shared" si="20"/>
        <v>1.175</v>
      </c>
      <c r="T55" s="37">
        <f t="shared" si="3"/>
        <v>46.874000000000002</v>
      </c>
      <c r="U55" s="37">
        <f t="shared" si="4"/>
        <v>8.4999999999993747E-2</v>
      </c>
      <c r="V55" s="37" t="str" cm="1">
        <f t="array" ref="V55">IF(I55&lt;&gt;"",_xlfn.IFS(U55&gt;0,"CUT",U55&lt;0,"FALL"),"")</f>
        <v/>
      </c>
      <c r="W55" s="37" t="str">
        <f t="shared" si="5"/>
        <v/>
      </c>
      <c r="X55" s="37" t="str">
        <f>IF(COUNT(C55:E55)&lt;&gt;0,COUNT(B$13:$B54)+1,"")</f>
        <v/>
      </c>
      <c r="Y55" s="37" t="str">
        <f>IF(W55="Turning Point",COUNT(Y$13:$Y54)+1,"")</f>
        <v/>
      </c>
      <c r="Z55" s="37" t="str">
        <f t="shared" si="6"/>
        <v/>
      </c>
      <c r="AB55" s="37" t="str">
        <f>IF(E55&lt;&gt;"",COUNTIF(W$13:$W55,"Turning Point"),"")</f>
        <v/>
      </c>
      <c r="AC55" s="37" t="str">
        <f t="shared" si="12"/>
        <v/>
      </c>
    </row>
    <row r="56" spans="2:29" ht="20.25" customHeight="1" x14ac:dyDescent="0.25">
      <c r="B56" s="26">
        <v>43</v>
      </c>
      <c r="C56" s="27"/>
      <c r="D56" s="27"/>
      <c r="E56" s="27"/>
      <c r="F56" s="28" t="str">
        <f t="shared" si="14"/>
        <v/>
      </c>
      <c r="G56" s="28" t="str">
        <f t="shared" si="15"/>
        <v/>
      </c>
      <c r="H56" s="22" t="str">
        <f>IF(COUNT(B56:E56)&gt;1,B56,IF(I56&lt;&gt;"",COUNT($H$13:H55)+1,""))</f>
        <v/>
      </c>
      <c r="I56" s="29" t="str">
        <f t="shared" si="16"/>
        <v/>
      </c>
      <c r="J56" s="30" t="str">
        <f t="shared" si="13"/>
        <v/>
      </c>
      <c r="K56" s="31" t="str">
        <f t="shared" si="9"/>
        <v/>
      </c>
      <c r="O56" s="40">
        <f t="shared" si="17"/>
        <v>46.958999999999996</v>
      </c>
      <c r="P56" s="40">
        <f t="shared" si="18"/>
        <v>46.958999999999996</v>
      </c>
      <c r="R56" s="37">
        <f t="shared" si="19"/>
        <v>48.048999999999999</v>
      </c>
      <c r="S56" s="37">
        <f t="shared" si="20"/>
        <v>1.175</v>
      </c>
      <c r="T56" s="37">
        <f t="shared" si="3"/>
        <v>46.874000000000002</v>
      </c>
      <c r="U56" s="37">
        <f t="shared" si="4"/>
        <v>8.4999999999993747E-2</v>
      </c>
      <c r="V56" s="37" t="str" cm="1">
        <f t="array" ref="V56">IF(I56&lt;&gt;"",_xlfn.IFS(U56&gt;0,"CUT",U56&lt;0,"FALL"),"")</f>
        <v/>
      </c>
      <c r="W56" s="37" t="str">
        <f t="shared" si="5"/>
        <v/>
      </c>
      <c r="X56" s="37" t="str">
        <f>IF(COUNT(C56:E56)&lt;&gt;0,COUNT(B$13:$B55)+1,"")</f>
        <v/>
      </c>
      <c r="Y56" s="37" t="str">
        <f>IF(W56="Turning Point",COUNT(Y$13:$Y55)+1,"")</f>
        <v/>
      </c>
      <c r="Z56" s="37" t="str">
        <f t="shared" si="6"/>
        <v/>
      </c>
      <c r="AB56" s="37" t="str">
        <f>IF(E56&lt;&gt;"",COUNTIF(W$13:$W56,"Turning Point"),"")</f>
        <v/>
      </c>
      <c r="AC56" s="37" t="str">
        <f t="shared" si="12"/>
        <v/>
      </c>
    </row>
    <row r="57" spans="2:29" ht="20.25" customHeight="1" x14ac:dyDescent="0.25">
      <c r="B57" s="19">
        <v>44</v>
      </c>
      <c r="C57" s="27"/>
      <c r="D57" s="27"/>
      <c r="E57" s="27"/>
      <c r="F57" s="28" t="str">
        <f t="shared" si="14"/>
        <v/>
      </c>
      <c r="G57" s="28" t="str">
        <f t="shared" si="15"/>
        <v/>
      </c>
      <c r="H57" s="22" t="str">
        <f>IF(COUNT(B57:E57)&gt;1,B57,IF(I57&lt;&gt;"",COUNT($H$13:H56)+1,""))</f>
        <v/>
      </c>
      <c r="I57" s="29" t="str">
        <f t="shared" si="16"/>
        <v/>
      </c>
      <c r="J57" s="30" t="str">
        <f t="shared" si="13"/>
        <v/>
      </c>
      <c r="K57" s="31" t="str">
        <f t="shared" si="9"/>
        <v/>
      </c>
      <c r="O57" s="40">
        <f t="shared" si="17"/>
        <v>46.958999999999996</v>
      </c>
      <c r="P57" s="40">
        <f t="shared" si="18"/>
        <v>46.958999999999996</v>
      </c>
      <c r="R57" s="37">
        <f t="shared" si="19"/>
        <v>48.048999999999999</v>
      </c>
      <c r="S57" s="37">
        <f t="shared" si="20"/>
        <v>1.175</v>
      </c>
      <c r="T57" s="37">
        <f t="shared" si="3"/>
        <v>46.874000000000002</v>
      </c>
      <c r="U57" s="37">
        <f t="shared" si="4"/>
        <v>8.4999999999993747E-2</v>
      </c>
      <c r="V57" s="37" t="str" cm="1">
        <f t="array" ref="V57">IF(I57&lt;&gt;"",_xlfn.IFS(U57&gt;0,"CUT",U57&lt;0,"FALL"),"")</f>
        <v/>
      </c>
      <c r="W57" s="37" t="str">
        <f t="shared" si="5"/>
        <v/>
      </c>
      <c r="X57" s="37" t="str">
        <f>IF(COUNT(C57:E57)&lt;&gt;0,COUNT(B$13:$B56)+1,"")</f>
        <v/>
      </c>
      <c r="Y57" s="37" t="str">
        <f>IF(W57="Turning Point",COUNT(Y$13:$Y56)+1,"")</f>
        <v/>
      </c>
      <c r="Z57" s="37" t="str">
        <f t="shared" si="6"/>
        <v/>
      </c>
      <c r="AB57" s="37" t="str">
        <f>IF(E57&lt;&gt;"",COUNTIF(W$13:$W57,"Turning Point"),"")</f>
        <v/>
      </c>
      <c r="AC57" s="37" t="str">
        <f t="shared" si="12"/>
        <v/>
      </c>
    </row>
    <row r="58" spans="2:29" ht="20.25" customHeight="1" x14ac:dyDescent="0.25">
      <c r="B58" s="26">
        <v>45</v>
      </c>
      <c r="C58" s="27"/>
      <c r="D58" s="27"/>
      <c r="E58" s="27"/>
      <c r="F58" s="28" t="str">
        <f t="shared" si="14"/>
        <v/>
      </c>
      <c r="G58" s="28" t="str">
        <f t="shared" si="15"/>
        <v/>
      </c>
      <c r="H58" s="22" t="str">
        <f>IF(COUNT(B58:E58)&gt;1,B58,IF(I58&lt;&gt;"",COUNT($H$13:H57)+1,""))</f>
        <v/>
      </c>
      <c r="I58" s="29" t="str">
        <f t="shared" si="16"/>
        <v/>
      </c>
      <c r="J58" s="30" t="str">
        <f t="shared" si="13"/>
        <v/>
      </c>
      <c r="K58" s="31" t="str">
        <f t="shared" si="9"/>
        <v/>
      </c>
      <c r="O58" s="40">
        <f t="shared" si="17"/>
        <v>46.958999999999996</v>
      </c>
      <c r="P58" s="40">
        <f t="shared" si="18"/>
        <v>46.958999999999996</v>
      </c>
      <c r="R58" s="37">
        <f t="shared" si="19"/>
        <v>48.048999999999999</v>
      </c>
      <c r="S58" s="37">
        <f t="shared" si="20"/>
        <v>1.175</v>
      </c>
      <c r="T58" s="37">
        <f t="shared" si="3"/>
        <v>46.874000000000002</v>
      </c>
      <c r="U58" s="37">
        <f t="shared" si="4"/>
        <v>8.4999999999993747E-2</v>
      </c>
      <c r="V58" s="37" t="str" cm="1">
        <f t="array" ref="V58">IF(I58&lt;&gt;"",_xlfn.IFS(U58&gt;0,"CUT",U58&lt;0,"FALL"),"")</f>
        <v/>
      </c>
      <c r="W58" s="37" t="str">
        <f t="shared" si="5"/>
        <v/>
      </c>
      <c r="X58" s="37" t="str">
        <f>IF(COUNT(C58:E58)&lt;&gt;0,COUNT(B$13:$B57)+1,"")</f>
        <v/>
      </c>
      <c r="Y58" s="37" t="str">
        <f>IF(W58="Turning Point",COUNT(Y$13:$Y57)+1,"")</f>
        <v/>
      </c>
      <c r="Z58" s="37" t="str">
        <f t="shared" si="6"/>
        <v/>
      </c>
      <c r="AB58" s="37" t="str">
        <f>IF(E58&lt;&gt;"",COUNTIF(W$13:$W58,"Turning Point"),"")</f>
        <v/>
      </c>
      <c r="AC58" s="37" t="str">
        <f t="shared" si="12"/>
        <v/>
      </c>
    </row>
    <row r="59" spans="2:29" ht="20.25" customHeight="1" x14ac:dyDescent="0.25">
      <c r="B59" s="19">
        <v>46</v>
      </c>
      <c r="C59" s="27"/>
      <c r="D59" s="27"/>
      <c r="E59" s="27"/>
      <c r="F59" s="28" t="str">
        <f t="shared" si="14"/>
        <v/>
      </c>
      <c r="G59" s="28" t="str">
        <f t="shared" si="15"/>
        <v/>
      </c>
      <c r="H59" s="22" t="str">
        <f>IF(COUNT(B59:E59)&gt;1,B59,IF(I59&lt;&gt;"",COUNT($H$13:H58)+1,""))</f>
        <v/>
      </c>
      <c r="I59" s="29" t="str">
        <f t="shared" si="16"/>
        <v/>
      </c>
      <c r="J59" s="30" t="str">
        <f t="shared" si="13"/>
        <v/>
      </c>
      <c r="K59" s="31" t="str">
        <f t="shared" si="9"/>
        <v/>
      </c>
      <c r="O59" s="40">
        <f t="shared" si="17"/>
        <v>46.958999999999996</v>
      </c>
      <c r="P59" s="40">
        <f t="shared" si="18"/>
        <v>46.958999999999996</v>
      </c>
      <c r="R59" s="37">
        <f t="shared" si="19"/>
        <v>48.048999999999999</v>
      </c>
      <c r="S59" s="37">
        <f t="shared" si="20"/>
        <v>1.175</v>
      </c>
      <c r="T59" s="37">
        <f t="shared" si="3"/>
        <v>46.874000000000002</v>
      </c>
      <c r="U59" s="37">
        <f t="shared" si="4"/>
        <v>8.4999999999993747E-2</v>
      </c>
      <c r="V59" s="37" t="str" cm="1">
        <f t="array" ref="V59">IF(I59&lt;&gt;"",_xlfn.IFS(U59&gt;0,"CUT",U59&lt;0,"FALL"),"")</f>
        <v/>
      </c>
      <c r="W59" s="37" t="str">
        <f t="shared" si="5"/>
        <v/>
      </c>
      <c r="X59" s="37" t="str">
        <f>IF(COUNT(C59:E59)&lt;&gt;0,COUNT(B$13:$B58)+1,"")</f>
        <v/>
      </c>
      <c r="Y59" s="37" t="str">
        <f>IF(W59="Turning Point",COUNT(Y$13:$Y58)+1,"")</f>
        <v/>
      </c>
      <c r="Z59" s="37" t="str">
        <f t="shared" si="6"/>
        <v/>
      </c>
      <c r="AB59" s="37" t="str">
        <f>IF(E59&lt;&gt;"",COUNTIF(W$13:$W59,"Turning Point"),"")</f>
        <v/>
      </c>
      <c r="AC59" s="37" t="str">
        <f t="shared" si="12"/>
        <v/>
      </c>
    </row>
    <row r="60" spans="2:29" ht="20.25" customHeight="1" x14ac:dyDescent="0.25">
      <c r="B60" s="26">
        <v>47</v>
      </c>
      <c r="C60" s="27"/>
      <c r="D60" s="27"/>
      <c r="E60" s="27"/>
      <c r="F60" s="28" t="str">
        <f t="shared" si="14"/>
        <v/>
      </c>
      <c r="G60" s="28" t="str">
        <f t="shared" si="15"/>
        <v/>
      </c>
      <c r="H60" s="22" t="str">
        <f>IF(COUNT(B60:E60)&gt;1,B60,IF(I60&lt;&gt;"",COUNT($H$13:H59)+1,""))</f>
        <v/>
      </c>
      <c r="I60" s="29" t="str">
        <f t="shared" si="16"/>
        <v/>
      </c>
      <c r="J60" s="30" t="str">
        <f t="shared" si="13"/>
        <v/>
      </c>
      <c r="K60" s="31" t="str">
        <f t="shared" si="9"/>
        <v/>
      </c>
      <c r="O60" s="40">
        <f t="shared" si="17"/>
        <v>46.958999999999996</v>
      </c>
      <c r="P60" s="40">
        <f t="shared" si="18"/>
        <v>46.958999999999996</v>
      </c>
      <c r="R60" s="37">
        <f t="shared" si="19"/>
        <v>48.048999999999999</v>
      </c>
      <c r="S60" s="37">
        <f t="shared" si="20"/>
        <v>1.175</v>
      </c>
      <c r="T60" s="37">
        <f t="shared" si="3"/>
        <v>46.874000000000002</v>
      </c>
      <c r="U60" s="37">
        <f t="shared" si="4"/>
        <v>8.4999999999993747E-2</v>
      </c>
      <c r="V60" s="37" t="str" cm="1">
        <f t="array" ref="V60">IF(I60&lt;&gt;"",_xlfn.IFS(U60&gt;0,"CUT",U60&lt;0,"FALL"),"")</f>
        <v/>
      </c>
      <c r="W60" s="37" t="str">
        <f t="shared" si="5"/>
        <v/>
      </c>
      <c r="X60" s="37" t="str">
        <f>IF(COUNT(C60:E60)&lt;&gt;0,COUNT(B$13:$B59)+1,"")</f>
        <v/>
      </c>
      <c r="Y60" s="37" t="str">
        <f>IF(W60="Turning Point",COUNT(Y$13:$Y59)+1,"")</f>
        <v/>
      </c>
      <c r="Z60" s="37" t="str">
        <f t="shared" si="6"/>
        <v/>
      </c>
      <c r="AB60" s="37" t="str">
        <f>IF(E60&lt;&gt;"",COUNTIF(W$13:$W60,"Turning Point"),"")</f>
        <v/>
      </c>
      <c r="AC60" s="37" t="str">
        <f t="shared" si="12"/>
        <v/>
      </c>
    </row>
    <row r="61" spans="2:29" ht="20.25" customHeight="1" x14ac:dyDescent="0.25">
      <c r="B61" s="19">
        <v>48</v>
      </c>
      <c r="C61" s="27"/>
      <c r="D61" s="27"/>
      <c r="E61" s="27"/>
      <c r="F61" s="28" t="str">
        <f t="shared" si="14"/>
        <v/>
      </c>
      <c r="G61" s="28" t="str">
        <f t="shared" si="15"/>
        <v/>
      </c>
      <c r="H61" s="22" t="str">
        <f>IF(COUNT(B61:E61)&gt;1,B61,IF(I61&lt;&gt;"",COUNT($H$13:H60)+1,""))</f>
        <v/>
      </c>
      <c r="I61" s="29" t="str">
        <f t="shared" si="16"/>
        <v/>
      </c>
      <c r="J61" s="30" t="str">
        <f t="shared" si="13"/>
        <v/>
      </c>
      <c r="K61" s="31" t="str">
        <f t="shared" si="9"/>
        <v/>
      </c>
      <c r="O61" s="40">
        <f t="shared" si="17"/>
        <v>46.958999999999996</v>
      </c>
      <c r="P61" s="40">
        <f t="shared" si="18"/>
        <v>46.958999999999996</v>
      </c>
      <c r="R61" s="37">
        <f t="shared" si="19"/>
        <v>48.048999999999999</v>
      </c>
      <c r="S61" s="37">
        <f t="shared" si="20"/>
        <v>1.175</v>
      </c>
      <c r="T61" s="37">
        <f t="shared" si="3"/>
        <v>46.874000000000002</v>
      </c>
      <c r="U61" s="37">
        <f t="shared" si="4"/>
        <v>8.4999999999993747E-2</v>
      </c>
      <c r="V61" s="37" t="str" cm="1">
        <f t="array" ref="V61">IF(I61&lt;&gt;"",_xlfn.IFS(U61&gt;0,"CUT",U61&lt;0,"FALL"),"")</f>
        <v/>
      </c>
      <c r="W61" s="37" t="str">
        <f t="shared" si="5"/>
        <v/>
      </c>
      <c r="X61" s="37" t="str">
        <f>IF(COUNT(C61:E61)&lt;&gt;0,COUNT(B$13:$B60)+1,"")</f>
        <v/>
      </c>
      <c r="Y61" s="37" t="str">
        <f>IF(W61="Turning Point",COUNT(Y$13:$Y60)+1,"")</f>
        <v/>
      </c>
      <c r="Z61" s="37" t="str">
        <f t="shared" si="6"/>
        <v/>
      </c>
      <c r="AB61" s="37" t="str">
        <f>IF(E61&lt;&gt;"",COUNTIF(W$13:$W61,"Turning Point"),"")</f>
        <v/>
      </c>
      <c r="AC61" s="37" t="str">
        <f t="shared" si="12"/>
        <v/>
      </c>
    </row>
    <row r="62" spans="2:29" ht="20.25" customHeight="1" x14ac:dyDescent="0.25">
      <c r="B62" s="26">
        <v>49</v>
      </c>
      <c r="C62" s="27"/>
      <c r="D62" s="27"/>
      <c r="E62" s="27"/>
      <c r="F62" s="28" t="str">
        <f t="shared" si="14"/>
        <v/>
      </c>
      <c r="G62" s="28" t="str">
        <f t="shared" si="15"/>
        <v/>
      </c>
      <c r="H62" s="22" t="str">
        <f>IF(COUNT(B62:E62)&gt;1,B62,IF(I62&lt;&gt;"",COUNT($H$13:H61)+1,""))</f>
        <v/>
      </c>
      <c r="I62" s="29" t="str">
        <f t="shared" si="16"/>
        <v/>
      </c>
      <c r="J62" s="30" t="str">
        <f t="shared" si="13"/>
        <v/>
      </c>
      <c r="K62" s="31" t="str">
        <f t="shared" si="9"/>
        <v/>
      </c>
      <c r="O62" s="40">
        <f t="shared" si="17"/>
        <v>46.958999999999996</v>
      </c>
      <c r="P62" s="40">
        <f t="shared" si="18"/>
        <v>46.958999999999996</v>
      </c>
      <c r="R62" s="37">
        <f t="shared" si="19"/>
        <v>48.048999999999999</v>
      </c>
      <c r="S62" s="37">
        <f t="shared" si="20"/>
        <v>1.175</v>
      </c>
      <c r="T62" s="37">
        <f t="shared" si="3"/>
        <v>46.874000000000002</v>
      </c>
      <c r="U62" s="37">
        <f t="shared" si="4"/>
        <v>8.4999999999993747E-2</v>
      </c>
      <c r="V62" s="37" t="str" cm="1">
        <f t="array" ref="V62">IF(I62&lt;&gt;"",_xlfn.IFS(U62&gt;0,"CUT",U62&lt;0,"FALL"),"")</f>
        <v/>
      </c>
      <c r="W62" s="37" t="str">
        <f t="shared" si="5"/>
        <v/>
      </c>
      <c r="X62" s="37" t="str">
        <f>IF(COUNT(C62:E62)&lt;&gt;0,COUNT(B$13:$B61)+1,"")</f>
        <v/>
      </c>
      <c r="Y62" s="37" t="str">
        <f>IF(W62="Turning Point",COUNT(Y$13:$Y61)+1,"")</f>
        <v/>
      </c>
      <c r="Z62" s="37" t="str">
        <f t="shared" si="6"/>
        <v/>
      </c>
      <c r="AB62" s="37" t="str">
        <f>IF(E62&lt;&gt;"",COUNTIF(W$13:$W62,"Turning Point"),"")</f>
        <v/>
      </c>
      <c r="AC62" s="37" t="str">
        <f t="shared" si="12"/>
        <v/>
      </c>
    </row>
    <row r="63" spans="2:29" ht="20.25" customHeight="1" x14ac:dyDescent="0.25">
      <c r="B63" s="19">
        <v>50</v>
      </c>
      <c r="C63" s="27"/>
      <c r="D63" s="27"/>
      <c r="E63" s="27"/>
      <c r="F63" s="28" t="str">
        <f t="shared" si="14"/>
        <v/>
      </c>
      <c r="G63" s="28" t="str">
        <f t="shared" si="15"/>
        <v/>
      </c>
      <c r="H63" s="22" t="str">
        <f>IF(COUNT(B63:E63)&gt;1,B63,IF(I63&lt;&gt;"",COUNT($H$13:H62)+1,""))</f>
        <v/>
      </c>
      <c r="I63" s="29" t="str">
        <f t="shared" si="16"/>
        <v/>
      </c>
      <c r="J63" s="30" t="str">
        <f t="shared" si="13"/>
        <v/>
      </c>
      <c r="K63" s="31" t="str">
        <f t="shared" si="9"/>
        <v/>
      </c>
      <c r="O63" s="40">
        <f t="shared" si="17"/>
        <v>46.958999999999996</v>
      </c>
      <c r="P63" s="40">
        <f t="shared" si="18"/>
        <v>46.958999999999996</v>
      </c>
      <c r="R63" s="37">
        <f t="shared" si="19"/>
        <v>48.048999999999999</v>
      </c>
      <c r="S63" s="37">
        <f t="shared" si="20"/>
        <v>1.175</v>
      </c>
      <c r="T63" s="37">
        <f t="shared" si="3"/>
        <v>46.874000000000002</v>
      </c>
      <c r="U63" s="37">
        <f t="shared" si="4"/>
        <v>8.4999999999993747E-2</v>
      </c>
      <c r="V63" s="37" t="str" cm="1">
        <f t="array" ref="V63">IF(I63&lt;&gt;"",_xlfn.IFS(U63&gt;0,"CUT",U63&lt;0,"FALL"),"")</f>
        <v/>
      </c>
      <c r="W63" s="37" t="str">
        <f t="shared" si="5"/>
        <v/>
      </c>
      <c r="X63" s="37" t="str">
        <f>IF(COUNT(C63:E63)&lt;&gt;0,COUNT(B$13:$B62)+1,"")</f>
        <v/>
      </c>
      <c r="Y63" s="37" t="str">
        <f>IF(W63="Turning Point",COUNT(Y$13:$Y62)+1,"")</f>
        <v/>
      </c>
      <c r="Z63" s="37" t="str">
        <f t="shared" si="6"/>
        <v/>
      </c>
      <c r="AB63" s="37" t="str">
        <f>IF(E63&lt;&gt;"",COUNTIF(W$13:$W63,"Turning Point"),"")</f>
        <v/>
      </c>
      <c r="AC63" s="37" t="str">
        <f t="shared" si="12"/>
        <v/>
      </c>
    </row>
    <row r="64" spans="2:29" ht="20.25" customHeight="1" x14ac:dyDescent="0.25">
      <c r="B64" s="26">
        <v>51</v>
      </c>
      <c r="C64" s="27"/>
      <c r="D64" s="27"/>
      <c r="E64" s="27"/>
      <c r="F64" s="28" t="str">
        <f t="shared" si="14"/>
        <v/>
      </c>
      <c r="G64" s="28" t="str">
        <f t="shared" si="15"/>
        <v/>
      </c>
      <c r="H64" s="22" t="str">
        <f>IF(COUNT(B64:E64)&gt;1,B64,IF(I64&lt;&gt;"",COUNT($H$13:H63)+1,""))</f>
        <v/>
      </c>
      <c r="I64" s="29" t="str">
        <f t="shared" si="16"/>
        <v/>
      </c>
      <c r="J64" s="30" t="str">
        <f t="shared" si="13"/>
        <v/>
      </c>
      <c r="K64" s="31" t="str">
        <f t="shared" si="9"/>
        <v/>
      </c>
      <c r="O64" s="40">
        <f t="shared" si="17"/>
        <v>46.958999999999996</v>
      </c>
      <c r="P64" s="40">
        <f t="shared" si="18"/>
        <v>46.958999999999996</v>
      </c>
      <c r="R64" s="37">
        <f t="shared" si="19"/>
        <v>48.048999999999999</v>
      </c>
      <c r="S64" s="37">
        <f t="shared" si="20"/>
        <v>1.175</v>
      </c>
      <c r="T64" s="37">
        <f t="shared" si="3"/>
        <v>46.874000000000002</v>
      </c>
      <c r="U64" s="37">
        <f t="shared" si="4"/>
        <v>8.4999999999993747E-2</v>
      </c>
      <c r="V64" s="37" t="str" cm="1">
        <f t="array" ref="V64">IF(I64&lt;&gt;"",_xlfn.IFS(U64&gt;0,"CUT",U64&lt;0,"FALL"),"")</f>
        <v/>
      </c>
      <c r="W64" s="37" t="str">
        <f t="shared" si="5"/>
        <v/>
      </c>
      <c r="X64" s="37" t="str">
        <f>IF(COUNT(C64:E64)&lt;&gt;0,COUNT(B$13:$B63)+1,"")</f>
        <v/>
      </c>
      <c r="Y64" s="37" t="str">
        <f>IF(W64="Turning Point",COUNT(Y$13:$Y63)+1,"")</f>
        <v/>
      </c>
      <c r="Z64" s="37" t="str">
        <f t="shared" si="6"/>
        <v/>
      </c>
      <c r="AB64" s="37" t="str">
        <f>IF(E64&lt;&gt;"",COUNTIF(W$13:$W64,"Turning Point"),"")</f>
        <v/>
      </c>
      <c r="AC64" s="37" t="str">
        <f t="shared" si="12"/>
        <v/>
      </c>
    </row>
    <row r="65" spans="2:29" ht="20.25" customHeight="1" x14ac:dyDescent="0.25">
      <c r="B65" s="19">
        <v>52</v>
      </c>
      <c r="C65" s="27"/>
      <c r="D65" s="27"/>
      <c r="E65" s="27"/>
      <c r="F65" s="28" t="str">
        <f t="shared" si="14"/>
        <v/>
      </c>
      <c r="G65" s="28" t="str">
        <f t="shared" si="15"/>
        <v/>
      </c>
      <c r="H65" s="22" t="str">
        <f>IF(COUNT(B65:E65)&gt;1,B65,IF(I65&lt;&gt;"",COUNT($H$13:H64)+1,""))</f>
        <v/>
      </c>
      <c r="I65" s="29" t="str">
        <f t="shared" si="16"/>
        <v/>
      </c>
      <c r="J65" s="30" t="str">
        <f t="shared" si="13"/>
        <v/>
      </c>
      <c r="K65" s="31" t="str">
        <f t="shared" si="9"/>
        <v/>
      </c>
      <c r="O65" s="40">
        <f t="shared" si="17"/>
        <v>46.958999999999996</v>
      </c>
      <c r="P65" s="40">
        <f t="shared" si="18"/>
        <v>46.958999999999996</v>
      </c>
      <c r="R65" s="37">
        <f t="shared" si="19"/>
        <v>48.048999999999999</v>
      </c>
      <c r="S65" s="37">
        <f t="shared" si="20"/>
        <v>1.175</v>
      </c>
      <c r="T65" s="37">
        <f t="shared" si="3"/>
        <v>46.874000000000002</v>
      </c>
      <c r="U65" s="37">
        <f t="shared" si="4"/>
        <v>8.4999999999993747E-2</v>
      </c>
      <c r="V65" s="37" t="str" cm="1">
        <f t="array" ref="V65">IF(I65&lt;&gt;"",_xlfn.IFS(U65&gt;0,"CUT",U65&lt;0,"FALL"),"")</f>
        <v/>
      </c>
      <c r="W65" s="37" t="str">
        <f t="shared" si="5"/>
        <v/>
      </c>
      <c r="X65" s="37" t="str">
        <f>IF(COUNT(C65:E65)&lt;&gt;0,COUNT(B$13:$B64)+1,"")</f>
        <v/>
      </c>
      <c r="Y65" s="37" t="str">
        <f>IF(W65="Turning Point",COUNT(Y$13:$Y64)+1,"")</f>
        <v/>
      </c>
      <c r="Z65" s="37" t="str">
        <f t="shared" si="6"/>
        <v/>
      </c>
      <c r="AB65" s="37" t="str">
        <f>IF(E65&lt;&gt;"",COUNTIF(W$13:$W65,"Turning Point"),"")</f>
        <v/>
      </c>
      <c r="AC65" s="37" t="str">
        <f t="shared" si="12"/>
        <v/>
      </c>
    </row>
    <row r="66" spans="2:29" ht="20.25" customHeight="1" x14ac:dyDescent="0.25">
      <c r="B66" s="26">
        <v>53</v>
      </c>
      <c r="C66" s="27"/>
      <c r="D66" s="27"/>
      <c r="E66" s="27"/>
      <c r="F66" s="28" t="str">
        <f t="shared" si="14"/>
        <v/>
      </c>
      <c r="G66" s="28" t="str">
        <f t="shared" si="15"/>
        <v/>
      </c>
      <c r="H66" s="22" t="str">
        <f>IF(COUNT(B66:E66)&gt;1,B66,IF(I66&lt;&gt;"",COUNT($H$13:H65)+1,""))</f>
        <v/>
      </c>
      <c r="I66" s="29" t="str">
        <f t="shared" si="16"/>
        <v/>
      </c>
      <c r="J66" s="30" t="str">
        <f t="shared" si="13"/>
        <v/>
      </c>
      <c r="K66" s="31" t="str">
        <f t="shared" si="9"/>
        <v/>
      </c>
      <c r="O66" s="40">
        <f t="shared" si="17"/>
        <v>46.958999999999996</v>
      </c>
      <c r="P66" s="40">
        <f t="shared" si="18"/>
        <v>46.958999999999996</v>
      </c>
      <c r="R66" s="37">
        <f t="shared" si="19"/>
        <v>48.048999999999999</v>
      </c>
      <c r="S66" s="37">
        <f t="shared" si="20"/>
        <v>1.175</v>
      </c>
      <c r="T66" s="37">
        <f t="shared" si="3"/>
        <v>46.874000000000002</v>
      </c>
      <c r="U66" s="37">
        <f t="shared" si="4"/>
        <v>8.4999999999993747E-2</v>
      </c>
      <c r="V66" s="37" t="str" cm="1">
        <f t="array" ref="V66">IF(I66&lt;&gt;"",_xlfn.IFS(U66&gt;0,"CUT",U66&lt;0,"FALL"),"")</f>
        <v/>
      </c>
      <c r="W66" s="37" t="str">
        <f t="shared" si="5"/>
        <v/>
      </c>
      <c r="X66" s="37" t="str">
        <f>IF(COUNT(C66:E66)&lt;&gt;0,COUNT(B$13:$B65)+1,"")</f>
        <v/>
      </c>
      <c r="Y66" s="37" t="str">
        <f>IF(W66="Turning Point",COUNT(Y$13:$Y65)+1,"")</f>
        <v/>
      </c>
      <c r="Z66" s="37" t="str">
        <f t="shared" si="6"/>
        <v/>
      </c>
      <c r="AB66" s="37" t="str">
        <f>IF(E66&lt;&gt;"",COUNTIF(W$13:$W66,"Turning Point"),"")</f>
        <v/>
      </c>
      <c r="AC66" s="37" t="str">
        <f t="shared" si="12"/>
        <v/>
      </c>
    </row>
    <row r="67" spans="2:29" ht="20.25" customHeight="1" x14ac:dyDescent="0.25">
      <c r="B67" s="19">
        <v>54</v>
      </c>
      <c r="C67" s="27"/>
      <c r="D67" s="27"/>
      <c r="E67" s="27"/>
      <c r="F67" s="28" t="str">
        <f t="shared" si="14"/>
        <v/>
      </c>
      <c r="G67" s="28" t="str">
        <f t="shared" si="15"/>
        <v/>
      </c>
      <c r="H67" s="22" t="str">
        <f>IF(COUNT(B67:E67)&gt;1,B67,IF(I67&lt;&gt;"",COUNT($H$13:H66)+1,""))</f>
        <v/>
      </c>
      <c r="I67" s="29" t="str">
        <f t="shared" si="16"/>
        <v/>
      </c>
      <c r="J67" s="30" t="str">
        <f t="shared" si="13"/>
        <v/>
      </c>
      <c r="K67" s="31" t="str">
        <f t="shared" si="9"/>
        <v/>
      </c>
      <c r="O67" s="40">
        <f t="shared" si="17"/>
        <v>46.958999999999996</v>
      </c>
      <c r="P67" s="40">
        <f t="shared" si="18"/>
        <v>46.958999999999996</v>
      </c>
      <c r="R67" s="37">
        <f t="shared" si="19"/>
        <v>48.048999999999999</v>
      </c>
      <c r="S67" s="37">
        <f t="shared" si="20"/>
        <v>1.175</v>
      </c>
      <c r="T67" s="37">
        <f t="shared" si="3"/>
        <v>46.874000000000002</v>
      </c>
      <c r="U67" s="37">
        <f t="shared" si="4"/>
        <v>8.4999999999993747E-2</v>
      </c>
      <c r="V67" s="37" t="str" cm="1">
        <f t="array" ref="V67">IF(I67&lt;&gt;"",_xlfn.IFS(U67&gt;0,"CUT",U67&lt;0,"FALL"),"")</f>
        <v/>
      </c>
      <c r="W67" s="37" t="str">
        <f t="shared" si="5"/>
        <v/>
      </c>
      <c r="X67" s="37" t="str">
        <f>IF(COUNT(C67:E67)&lt;&gt;0,COUNT(B$13:$B66)+1,"")</f>
        <v/>
      </c>
      <c r="Y67" s="37" t="str">
        <f>IF(W67="Turning Point",COUNT(Y$13:$Y66)+1,"")</f>
        <v/>
      </c>
      <c r="Z67" s="37" t="str">
        <f t="shared" si="6"/>
        <v/>
      </c>
      <c r="AB67" s="37" t="str">
        <f>IF(E67&lt;&gt;"",COUNTIF(W$13:$W67,"Turning Point"),"")</f>
        <v/>
      </c>
      <c r="AC67" s="37" t="str">
        <f t="shared" si="12"/>
        <v/>
      </c>
    </row>
    <row r="68" spans="2:29" ht="20.25" customHeight="1" x14ac:dyDescent="0.25">
      <c r="B68" s="26">
        <v>55</v>
      </c>
      <c r="C68" s="27"/>
      <c r="D68" s="27"/>
      <c r="E68" s="27"/>
      <c r="F68" s="28" t="str">
        <f t="shared" si="14"/>
        <v/>
      </c>
      <c r="G68" s="28" t="str">
        <f t="shared" si="15"/>
        <v/>
      </c>
      <c r="H68" s="22" t="str">
        <f>IF(COUNT(B68:E68)&gt;1,B68,IF(I68&lt;&gt;"",COUNT($H$13:H67)+1,""))</f>
        <v/>
      </c>
      <c r="I68" s="29" t="str">
        <f t="shared" si="16"/>
        <v/>
      </c>
      <c r="J68" s="30" t="str">
        <f t="shared" si="13"/>
        <v/>
      </c>
      <c r="K68" s="31" t="str">
        <f t="shared" si="9"/>
        <v/>
      </c>
      <c r="O68" s="40">
        <f t="shared" si="17"/>
        <v>46.958999999999996</v>
      </c>
      <c r="P68" s="40">
        <f t="shared" si="18"/>
        <v>46.958999999999996</v>
      </c>
      <c r="R68" s="37">
        <f t="shared" si="19"/>
        <v>48.048999999999999</v>
      </c>
      <c r="S68" s="37">
        <f t="shared" si="20"/>
        <v>1.175</v>
      </c>
      <c r="T68" s="37">
        <f t="shared" si="3"/>
        <v>46.874000000000002</v>
      </c>
      <c r="U68" s="37">
        <f t="shared" si="4"/>
        <v>8.4999999999993747E-2</v>
      </c>
      <c r="V68" s="37" t="str" cm="1">
        <f t="array" ref="V68">IF(I68&lt;&gt;"",_xlfn.IFS(U68&gt;0,"CUT",U68&lt;0,"FALL"),"")</f>
        <v/>
      </c>
      <c r="W68" s="37" t="str">
        <f t="shared" si="5"/>
        <v/>
      </c>
      <c r="X68" s="37" t="str">
        <f>IF(COUNT(C68:E68)&lt;&gt;0,COUNT(B$13:$B67)+1,"")</f>
        <v/>
      </c>
      <c r="Y68" s="37" t="str">
        <f>IF(W68="Turning Point",COUNT(Y$13:$Y67)+1,"")</f>
        <v/>
      </c>
      <c r="Z68" s="37" t="str">
        <f t="shared" si="6"/>
        <v/>
      </c>
      <c r="AB68" s="37" t="str">
        <f>IF(E68&lt;&gt;"",COUNTIF(W$13:$W68,"Turning Point"),"")</f>
        <v/>
      </c>
      <c r="AC68" s="37" t="str">
        <f t="shared" si="12"/>
        <v/>
      </c>
    </row>
    <row r="69" spans="2:29" ht="20.25" customHeight="1" x14ac:dyDescent="0.25">
      <c r="B69" s="19">
        <v>56</v>
      </c>
      <c r="C69" s="27"/>
      <c r="D69" s="27"/>
      <c r="E69" s="27"/>
      <c r="F69" s="28" t="str">
        <f t="shared" si="14"/>
        <v/>
      </c>
      <c r="G69" s="28" t="str">
        <f t="shared" si="15"/>
        <v/>
      </c>
      <c r="H69" s="22" t="str">
        <f>IF(COUNT(B69:E69)&gt;1,B69,IF(I69&lt;&gt;"",COUNT($H$13:H68)+1,""))</f>
        <v/>
      </c>
      <c r="I69" s="29" t="str">
        <f t="shared" si="16"/>
        <v/>
      </c>
      <c r="J69" s="30" t="str">
        <f t="shared" si="13"/>
        <v/>
      </c>
      <c r="K69" s="31" t="str">
        <f t="shared" si="9"/>
        <v/>
      </c>
      <c r="O69" s="40">
        <f t="shared" si="17"/>
        <v>46.958999999999996</v>
      </c>
      <c r="P69" s="40">
        <f t="shared" si="18"/>
        <v>46.958999999999996</v>
      </c>
      <c r="R69" s="37">
        <f t="shared" si="19"/>
        <v>48.048999999999999</v>
      </c>
      <c r="S69" s="37">
        <f t="shared" si="20"/>
        <v>1.175</v>
      </c>
      <c r="T69" s="37">
        <f t="shared" si="3"/>
        <v>46.874000000000002</v>
      </c>
      <c r="U69" s="37">
        <f t="shared" si="4"/>
        <v>8.4999999999993747E-2</v>
      </c>
      <c r="V69" s="37" t="str" cm="1">
        <f t="array" ref="V69">IF(I69&lt;&gt;"",_xlfn.IFS(U69&gt;0,"CUT",U69&lt;0,"FALL"),"")</f>
        <v/>
      </c>
      <c r="W69" s="37" t="str">
        <f t="shared" si="5"/>
        <v/>
      </c>
      <c r="X69" s="37" t="str">
        <f>IF(COUNT(C69:E69)&lt;&gt;0,COUNT(B$13:$B68)+1,"")</f>
        <v/>
      </c>
      <c r="Y69" s="37" t="str">
        <f>IF(W69="Turning Point",COUNT(Y$13:$Y68)+1,"")</f>
        <v/>
      </c>
      <c r="Z69" s="37" t="str">
        <f t="shared" si="6"/>
        <v/>
      </c>
      <c r="AB69" s="37" t="str">
        <f>IF(E69&lt;&gt;"",COUNTIF(W$13:$W69,"Turning Point"),"")</f>
        <v/>
      </c>
      <c r="AC69" s="37" t="str">
        <f t="shared" si="12"/>
        <v/>
      </c>
    </row>
    <row r="70" spans="2:29" ht="20.25" customHeight="1" x14ac:dyDescent="0.25">
      <c r="B70" s="26">
        <v>57</v>
      </c>
      <c r="C70" s="27"/>
      <c r="D70" s="27"/>
      <c r="E70" s="27"/>
      <c r="F70" s="28" t="str">
        <f t="shared" si="14"/>
        <v/>
      </c>
      <c r="G70" s="28" t="str">
        <f t="shared" si="15"/>
        <v/>
      </c>
      <c r="H70" s="22" t="str">
        <f>IF(COUNT(B70:E70)&gt;1,B70,IF(I70&lt;&gt;"",COUNT($H$13:H69)+1,""))</f>
        <v/>
      </c>
      <c r="I70" s="29" t="str">
        <f t="shared" si="16"/>
        <v/>
      </c>
      <c r="J70" s="30" t="str">
        <f t="shared" si="13"/>
        <v/>
      </c>
      <c r="K70" s="31" t="str">
        <f t="shared" si="9"/>
        <v/>
      </c>
      <c r="O70" s="40">
        <f t="shared" si="17"/>
        <v>46.958999999999996</v>
      </c>
      <c r="P70" s="40">
        <f t="shared" si="18"/>
        <v>46.958999999999996</v>
      </c>
      <c r="R70" s="37">
        <f t="shared" si="19"/>
        <v>48.048999999999999</v>
      </c>
      <c r="S70" s="37">
        <f t="shared" si="20"/>
        <v>1.175</v>
      </c>
      <c r="T70" s="37">
        <f t="shared" si="3"/>
        <v>46.874000000000002</v>
      </c>
      <c r="U70" s="37">
        <f t="shared" si="4"/>
        <v>8.4999999999993747E-2</v>
      </c>
      <c r="V70" s="37" t="str" cm="1">
        <f t="array" ref="V70">IF(I70&lt;&gt;"",_xlfn.IFS(U70&gt;0,"CUT",U70&lt;0,"FALL"),"")</f>
        <v/>
      </c>
      <c r="W70" s="37" t="str">
        <f t="shared" si="5"/>
        <v/>
      </c>
      <c r="X70" s="37" t="str">
        <f>IF(COUNT(C70:E70)&lt;&gt;0,COUNT(B$13:$B69)+1,"")</f>
        <v/>
      </c>
      <c r="Y70" s="37" t="str">
        <f>IF(W70="Turning Point",COUNT(Y$13:$Y69)+1,"")</f>
        <v/>
      </c>
      <c r="Z70" s="37" t="str">
        <f t="shared" si="6"/>
        <v/>
      </c>
      <c r="AB70" s="37" t="str">
        <f>IF(E70&lt;&gt;"",COUNTIF(W$13:$W70,"Turning Point"),"")</f>
        <v/>
      </c>
      <c r="AC70" s="37" t="str">
        <f t="shared" si="12"/>
        <v/>
      </c>
    </row>
    <row r="71" spans="2:29" ht="20.25" customHeight="1" x14ac:dyDescent="0.25">
      <c r="B71" s="19">
        <v>58</v>
      </c>
      <c r="C71" s="27"/>
      <c r="D71" s="27"/>
      <c r="E71" s="27"/>
      <c r="F71" s="28" t="str">
        <f t="shared" si="14"/>
        <v/>
      </c>
      <c r="G71" s="28" t="str">
        <f t="shared" si="15"/>
        <v/>
      </c>
      <c r="H71" s="22" t="str">
        <f>IF(COUNT(B71:E71)&gt;1,B71,IF(I71&lt;&gt;"",COUNT($H$13:H70)+1,""))</f>
        <v/>
      </c>
      <c r="I71" s="29" t="str">
        <f t="shared" si="16"/>
        <v/>
      </c>
      <c r="J71" s="30" t="str">
        <f t="shared" si="13"/>
        <v/>
      </c>
      <c r="K71" s="31" t="str">
        <f t="shared" si="9"/>
        <v/>
      </c>
      <c r="O71" s="40">
        <f t="shared" si="17"/>
        <v>46.958999999999996</v>
      </c>
      <c r="P71" s="40">
        <f t="shared" si="18"/>
        <v>46.958999999999996</v>
      </c>
      <c r="R71" s="37">
        <f t="shared" si="19"/>
        <v>48.048999999999999</v>
      </c>
      <c r="S71" s="37">
        <f t="shared" si="20"/>
        <v>1.175</v>
      </c>
      <c r="T71" s="37">
        <f t="shared" si="3"/>
        <v>46.874000000000002</v>
      </c>
      <c r="U71" s="37">
        <f t="shared" si="4"/>
        <v>8.4999999999993747E-2</v>
      </c>
      <c r="V71" s="37" t="str" cm="1">
        <f t="array" ref="V71">IF(I71&lt;&gt;"",_xlfn.IFS(U71&gt;0,"CUT",U71&lt;0,"FALL"),"")</f>
        <v/>
      </c>
      <c r="W71" s="37" t="str">
        <f t="shared" si="5"/>
        <v/>
      </c>
      <c r="X71" s="37" t="str">
        <f>IF(COUNT(C71:E71)&lt;&gt;0,COUNT(B$13:$B70)+1,"")</f>
        <v/>
      </c>
      <c r="Y71" s="37" t="str">
        <f>IF(W71="Turning Point",COUNT(Y$13:$Y70)+1,"")</f>
        <v/>
      </c>
      <c r="Z71" s="37" t="str">
        <f t="shared" si="6"/>
        <v/>
      </c>
      <c r="AB71" s="37" t="str">
        <f>IF(E71&lt;&gt;"",COUNTIF(W$13:$W71,"Turning Point"),"")</f>
        <v/>
      </c>
      <c r="AC71" s="37" t="str">
        <f t="shared" si="12"/>
        <v/>
      </c>
    </row>
    <row r="72" spans="2:29" ht="20.25" customHeight="1" x14ac:dyDescent="0.25">
      <c r="B72" s="26">
        <v>59</v>
      </c>
      <c r="C72" s="27"/>
      <c r="D72" s="27"/>
      <c r="E72" s="27"/>
      <c r="F72" s="28" t="str">
        <f t="shared" si="14"/>
        <v/>
      </c>
      <c r="G72" s="28" t="str">
        <f t="shared" si="15"/>
        <v/>
      </c>
      <c r="H72" s="22" t="str">
        <f>IF(COUNT(B72:E72)&gt;1,B72,IF(I72&lt;&gt;"",COUNT($H$13:H71)+1,""))</f>
        <v/>
      </c>
      <c r="I72" s="29" t="str">
        <f t="shared" si="16"/>
        <v/>
      </c>
      <c r="J72" s="30" t="str">
        <f t="shared" si="13"/>
        <v/>
      </c>
      <c r="K72" s="31" t="str">
        <f t="shared" si="9"/>
        <v/>
      </c>
      <c r="O72" s="40">
        <f t="shared" si="17"/>
        <v>46.958999999999996</v>
      </c>
      <c r="P72" s="40">
        <f t="shared" si="18"/>
        <v>46.958999999999996</v>
      </c>
      <c r="R72" s="37">
        <f t="shared" si="19"/>
        <v>48.048999999999999</v>
      </c>
      <c r="S72" s="37">
        <f t="shared" si="20"/>
        <v>1.175</v>
      </c>
      <c r="T72" s="37">
        <f t="shared" si="3"/>
        <v>46.874000000000002</v>
      </c>
      <c r="U72" s="37">
        <f t="shared" si="4"/>
        <v>8.4999999999993747E-2</v>
      </c>
      <c r="V72" s="37" t="str" cm="1">
        <f t="array" ref="V72">IF(I72&lt;&gt;"",_xlfn.IFS(U72&gt;0,"CUT",U72&lt;0,"FALL"),"")</f>
        <v/>
      </c>
      <c r="W72" s="37" t="str">
        <f t="shared" si="5"/>
        <v/>
      </c>
      <c r="X72" s="37" t="str">
        <f>IF(COUNT(C72:E72)&lt;&gt;0,COUNT(B$13:$B71)+1,"")</f>
        <v/>
      </c>
      <c r="Y72" s="37" t="str">
        <f>IF(W72="Turning Point",COUNT(Y$13:$Y71)+1,"")</f>
        <v/>
      </c>
      <c r="Z72" s="37" t="str">
        <f t="shared" si="6"/>
        <v/>
      </c>
      <c r="AB72" s="37" t="str">
        <f>IF(E72&lt;&gt;"",COUNTIF(W$13:$W72,"Turning Point"),"")</f>
        <v/>
      </c>
      <c r="AC72" s="37" t="str">
        <f t="shared" si="12"/>
        <v/>
      </c>
    </row>
    <row r="73" spans="2:29" ht="20.25" customHeight="1" thickBot="1" x14ac:dyDescent="0.3">
      <c r="B73" s="19">
        <v>60</v>
      </c>
      <c r="C73" s="27"/>
      <c r="D73" s="27"/>
      <c r="E73" s="27"/>
      <c r="F73" s="28" t="str">
        <f t="shared" si="14"/>
        <v/>
      </c>
      <c r="G73" s="28" t="str">
        <f t="shared" si="15"/>
        <v/>
      </c>
      <c r="H73" s="22" t="str">
        <f>IF(COUNT(B73:E73)&gt;1,B73,IF(I73&lt;&gt;"",COUNT($H$13:H72)+1,""))</f>
        <v/>
      </c>
      <c r="I73" s="29" t="str">
        <f t="shared" si="16"/>
        <v/>
      </c>
      <c r="J73" s="30" t="str">
        <f t="shared" si="13"/>
        <v/>
      </c>
      <c r="K73" s="31" t="str">
        <f t="shared" si="9"/>
        <v/>
      </c>
      <c r="O73" s="40">
        <f t="shared" si="17"/>
        <v>46.958999999999996</v>
      </c>
      <c r="P73" s="40">
        <f t="shared" si="18"/>
        <v>46.958999999999996</v>
      </c>
      <c r="R73" s="37">
        <f t="shared" si="19"/>
        <v>48.048999999999999</v>
      </c>
      <c r="S73" s="37">
        <f t="shared" si="20"/>
        <v>1.175</v>
      </c>
      <c r="T73" s="37">
        <f t="shared" si="3"/>
        <v>46.874000000000002</v>
      </c>
      <c r="U73" s="37">
        <f t="shared" si="4"/>
        <v>8.4999999999993747E-2</v>
      </c>
      <c r="V73" s="37" t="str" cm="1">
        <f t="array" ref="V73">IF(I73&lt;&gt;"",_xlfn.IFS(U73&gt;0,"CUT",U73&lt;0,"FALL"),"")</f>
        <v/>
      </c>
      <c r="W73" s="37" t="str">
        <f t="shared" si="5"/>
        <v/>
      </c>
      <c r="X73" s="37" t="str">
        <f>IF(COUNT(C73:E73)&lt;&gt;0,COUNT(B$13:$B72)+1,"")</f>
        <v/>
      </c>
      <c r="Y73" s="37" t="str">
        <f>IF(W73="Turning Point",COUNT(Y$13:$Y72)+1,"")</f>
        <v/>
      </c>
      <c r="Z73" s="37" t="str">
        <f t="shared" si="6"/>
        <v/>
      </c>
      <c r="AB73" s="37" t="str">
        <f>IF(E73&lt;&gt;"",COUNTIF(W$13:$W73,"Turning Point"),"")</f>
        <v/>
      </c>
      <c r="AC73" s="37" t="str">
        <f t="shared" si="12"/>
        <v/>
      </c>
    </row>
    <row r="74" spans="2:29" ht="20.25" customHeight="1" thickTop="1" x14ac:dyDescent="0.25">
      <c r="I74" s="32"/>
      <c r="J74" s="33"/>
    </row>
    <row r="75" spans="2:29" ht="20.25" customHeight="1" x14ac:dyDescent="0.25">
      <c r="I75" s="1"/>
    </row>
    <row r="76" spans="2:29" ht="20.25" customHeight="1" x14ac:dyDescent="0.25">
      <c r="I76" s="1"/>
    </row>
    <row r="77" spans="2:29" ht="20.25" customHeight="1" x14ac:dyDescent="0.25">
      <c r="I77" s="1"/>
    </row>
    <row r="78" spans="2:29" ht="20.25" customHeight="1" x14ac:dyDescent="0.25">
      <c r="I78" s="1"/>
    </row>
    <row r="79" spans="2:29" ht="20.25" customHeight="1" x14ac:dyDescent="0.25">
      <c r="I79" s="1"/>
    </row>
    <row r="80" spans="2:29" ht="20.25" customHeight="1" x14ac:dyDescent="0.25">
      <c r="I80" s="1"/>
    </row>
    <row r="81" spans="9:9" ht="20.25" customHeight="1" x14ac:dyDescent="0.25">
      <c r="I81" s="1"/>
    </row>
    <row r="82" spans="9:9" ht="20.25" customHeight="1" x14ac:dyDescent="0.25">
      <c r="I82" s="1"/>
    </row>
    <row r="83" spans="9:9" ht="20.25" customHeight="1" x14ac:dyDescent="0.25">
      <c r="I83" s="1"/>
    </row>
    <row r="84" spans="9:9" ht="20.25" customHeight="1" x14ac:dyDescent="0.25">
      <c r="I84" s="1"/>
    </row>
    <row r="85" spans="9:9" ht="20.25" customHeight="1" x14ac:dyDescent="0.25">
      <c r="I85" s="1"/>
    </row>
    <row r="86" spans="9:9" ht="20.25" customHeight="1" x14ac:dyDescent="0.25">
      <c r="I86" s="1"/>
    </row>
    <row r="87" spans="9:9" ht="20.25" customHeight="1" x14ac:dyDescent="0.25">
      <c r="I87" s="1"/>
    </row>
    <row r="88" spans="9:9" ht="20.25" customHeight="1" x14ac:dyDescent="0.25">
      <c r="I88" s="1"/>
    </row>
    <row r="89" spans="9:9" ht="20.25" customHeight="1" x14ac:dyDescent="0.25">
      <c r="I89" s="1"/>
    </row>
    <row r="90" spans="9:9" ht="20.25" customHeight="1" x14ac:dyDescent="0.25">
      <c r="I90" s="1"/>
    </row>
    <row r="91" spans="9:9" ht="20.25" customHeight="1" x14ac:dyDescent="0.25">
      <c r="I91" s="1"/>
    </row>
    <row r="92" spans="9:9" ht="20.25" customHeight="1" x14ac:dyDescent="0.25">
      <c r="I92" s="1"/>
    </row>
    <row r="93" spans="9:9" ht="20.25" customHeight="1" x14ac:dyDescent="0.25">
      <c r="I93" s="1"/>
    </row>
    <row r="94" spans="9:9" ht="20.25" customHeight="1" x14ac:dyDescent="0.25">
      <c r="I94" s="1"/>
    </row>
    <row r="95" spans="9:9" ht="20.25" customHeight="1" x14ac:dyDescent="0.25">
      <c r="I95" s="1"/>
    </row>
    <row r="96" spans="9:9" ht="20.25" customHeight="1" x14ac:dyDescent="0.25">
      <c r="I96" s="1"/>
    </row>
    <row r="97" spans="9:9" ht="20.25" customHeight="1" x14ac:dyDescent="0.25">
      <c r="I97" s="1"/>
    </row>
    <row r="98" spans="9:9" ht="20.25" customHeight="1" x14ac:dyDescent="0.25">
      <c r="I98" s="1"/>
    </row>
    <row r="99" spans="9:9" ht="20.25" customHeight="1" x14ac:dyDescent="0.25">
      <c r="I99" s="1"/>
    </row>
    <row r="100" spans="9:9" ht="20.25" customHeight="1" x14ac:dyDescent="0.25">
      <c r="I100" s="1"/>
    </row>
    <row r="101" spans="9:9" ht="20.25" customHeight="1" x14ac:dyDescent="0.25">
      <c r="I101" s="1"/>
    </row>
    <row r="102" spans="9:9" ht="20.25" customHeight="1" x14ac:dyDescent="0.25">
      <c r="I102" s="1"/>
    </row>
    <row r="103" spans="9:9" ht="20.25" customHeight="1" x14ac:dyDescent="0.25">
      <c r="I103" s="1"/>
    </row>
    <row r="104" spans="9:9" ht="20.25" customHeight="1" x14ac:dyDescent="0.25">
      <c r="I104" s="1"/>
    </row>
    <row r="105" spans="9:9" ht="20.25" customHeight="1" x14ac:dyDescent="0.25">
      <c r="I105" s="1"/>
    </row>
    <row r="106" spans="9:9" ht="20.25" customHeight="1" x14ac:dyDescent="0.25">
      <c r="I106" s="1"/>
    </row>
    <row r="107" spans="9:9" ht="20.25" customHeight="1" x14ac:dyDescent="0.25">
      <c r="I107" s="1"/>
    </row>
    <row r="108" spans="9:9" ht="20.25" customHeight="1" x14ac:dyDescent="0.25">
      <c r="I108" s="1"/>
    </row>
    <row r="109" spans="9:9" ht="20.25" customHeight="1" x14ac:dyDescent="0.25">
      <c r="I109" s="1"/>
    </row>
    <row r="110" spans="9:9" ht="20.25" customHeight="1" x14ac:dyDescent="0.25">
      <c r="I110" s="1"/>
    </row>
    <row r="111" spans="9:9" ht="20.25" customHeight="1" x14ac:dyDescent="0.25">
      <c r="I111" s="1"/>
    </row>
    <row r="112" spans="9:9" ht="20.25" customHeight="1" x14ac:dyDescent="0.25">
      <c r="I112" s="1"/>
    </row>
    <row r="113" spans="9:9" ht="20.25" customHeight="1" x14ac:dyDescent="0.25">
      <c r="I113" s="1"/>
    </row>
    <row r="114" spans="9:9" ht="20.25" customHeight="1" x14ac:dyDescent="0.25">
      <c r="I114" s="1"/>
    </row>
    <row r="115" spans="9:9" ht="20.25" customHeight="1" x14ac:dyDescent="0.25">
      <c r="I115" s="1"/>
    </row>
    <row r="116" spans="9:9" ht="20.25" customHeight="1" x14ac:dyDescent="0.25">
      <c r="I116" s="1"/>
    </row>
    <row r="117" spans="9:9" ht="20.25" customHeight="1" x14ac:dyDescent="0.25">
      <c r="I117" s="1"/>
    </row>
    <row r="118" spans="9:9" ht="20.25" customHeight="1" x14ac:dyDescent="0.25">
      <c r="I118" s="1"/>
    </row>
    <row r="119" spans="9:9" ht="20.25" customHeight="1" x14ac:dyDescent="0.25">
      <c r="I119" s="1"/>
    </row>
    <row r="120" spans="9:9" ht="20.25" customHeight="1" x14ac:dyDescent="0.25">
      <c r="I120" s="1"/>
    </row>
    <row r="121" spans="9:9" ht="20.25" customHeight="1" x14ac:dyDescent="0.25">
      <c r="I121" s="1"/>
    </row>
    <row r="122" spans="9:9" ht="20.25" customHeight="1" x14ac:dyDescent="0.25">
      <c r="I122" s="1"/>
    </row>
    <row r="123" spans="9:9" ht="20.25" customHeight="1" x14ac:dyDescent="0.25">
      <c r="I123" s="1"/>
    </row>
    <row r="124" spans="9:9" ht="20.25" customHeight="1" x14ac:dyDescent="0.25">
      <c r="I124" s="1"/>
    </row>
    <row r="125" spans="9:9" ht="20.25" customHeight="1" x14ac:dyDescent="0.25">
      <c r="I125" s="1"/>
    </row>
    <row r="126" spans="9:9" ht="20.25" customHeight="1" x14ac:dyDescent="0.25">
      <c r="I126" s="1"/>
    </row>
    <row r="127" spans="9:9" ht="20.25" customHeight="1" x14ac:dyDescent="0.25">
      <c r="I127" s="1"/>
    </row>
    <row r="128" spans="9:9" ht="20.25" customHeight="1" x14ac:dyDescent="0.25">
      <c r="I128" s="1"/>
    </row>
    <row r="129" spans="9:9" ht="20.25" customHeight="1" x14ac:dyDescent="0.25">
      <c r="I129" s="1"/>
    </row>
    <row r="130" spans="9:9" ht="20.25" customHeight="1" x14ac:dyDescent="0.25">
      <c r="I130" s="1"/>
    </row>
    <row r="131" spans="9:9" ht="20.25" customHeight="1" x14ac:dyDescent="0.25">
      <c r="I131" s="1"/>
    </row>
    <row r="132" spans="9:9" ht="20.25" customHeight="1" x14ac:dyDescent="0.25">
      <c r="I132" s="1"/>
    </row>
    <row r="133" spans="9:9" ht="20.25" customHeight="1" x14ac:dyDescent="0.25">
      <c r="I133" s="1"/>
    </row>
    <row r="134" spans="9:9" ht="20.25" customHeight="1" x14ac:dyDescent="0.25">
      <c r="I134" s="1"/>
    </row>
    <row r="135" spans="9:9" ht="20.25" customHeight="1" x14ac:dyDescent="0.25">
      <c r="I135" s="1"/>
    </row>
    <row r="136" spans="9:9" ht="20.25" customHeight="1" x14ac:dyDescent="0.25">
      <c r="I136" s="1"/>
    </row>
    <row r="137" spans="9:9" ht="20.25" customHeight="1" x14ac:dyDescent="0.25">
      <c r="I137" s="1"/>
    </row>
    <row r="138" spans="9:9" ht="20.25" customHeight="1" x14ac:dyDescent="0.25">
      <c r="I138" s="1"/>
    </row>
    <row r="139" spans="9:9" ht="20.25" customHeight="1" x14ac:dyDescent="0.25">
      <c r="I139" s="1"/>
    </row>
    <row r="140" spans="9:9" ht="20.25" customHeight="1" x14ac:dyDescent="0.25">
      <c r="I140" s="1"/>
    </row>
    <row r="141" spans="9:9" ht="20.25" customHeight="1" x14ac:dyDescent="0.25">
      <c r="I141" s="1"/>
    </row>
    <row r="142" spans="9:9" ht="20.25" customHeight="1" x14ac:dyDescent="0.25">
      <c r="I142" s="1"/>
    </row>
    <row r="143" spans="9:9" ht="20.25" customHeight="1" x14ac:dyDescent="0.25">
      <c r="I143" s="1"/>
    </row>
    <row r="144" spans="9:9" ht="20.25" customHeight="1" x14ac:dyDescent="0.25">
      <c r="I144" s="1"/>
    </row>
    <row r="145" spans="9:9" ht="20.25" customHeight="1" x14ac:dyDescent="0.25">
      <c r="I145" s="1"/>
    </row>
    <row r="146" spans="9:9" ht="20.25" customHeight="1" x14ac:dyDescent="0.25">
      <c r="I146" s="1"/>
    </row>
    <row r="147" spans="9:9" ht="20.25" customHeight="1" x14ac:dyDescent="0.25">
      <c r="I147" s="1"/>
    </row>
    <row r="148" spans="9:9" ht="20.25" customHeight="1" x14ac:dyDescent="0.25">
      <c r="I148" s="1"/>
    </row>
    <row r="149" spans="9:9" ht="20.25" customHeight="1" x14ac:dyDescent="0.25">
      <c r="I149" s="1"/>
    </row>
    <row r="150" spans="9:9" ht="20.25" customHeight="1" x14ac:dyDescent="0.25">
      <c r="I150" s="1"/>
    </row>
    <row r="151" spans="9:9" ht="20.25" customHeight="1" x14ac:dyDescent="0.25">
      <c r="I151" s="1"/>
    </row>
    <row r="152" spans="9:9" ht="20.25" customHeight="1" x14ac:dyDescent="0.25">
      <c r="I152" s="1"/>
    </row>
    <row r="153" spans="9:9" ht="20.25" customHeight="1" x14ac:dyDescent="0.25">
      <c r="I153" s="1"/>
    </row>
    <row r="154" spans="9:9" ht="20.25" customHeight="1" x14ac:dyDescent="0.25">
      <c r="I154" s="1"/>
    </row>
    <row r="155" spans="9:9" ht="20.25" customHeight="1" x14ac:dyDescent="0.25">
      <c r="I155" s="1"/>
    </row>
    <row r="156" spans="9:9" ht="20.25" customHeight="1" x14ac:dyDescent="0.25">
      <c r="I156" s="1"/>
    </row>
    <row r="157" spans="9:9" ht="20.25" customHeight="1" x14ac:dyDescent="0.25">
      <c r="I157" s="1"/>
    </row>
    <row r="158" spans="9:9" ht="20.25" customHeight="1" x14ac:dyDescent="0.25">
      <c r="I158" s="1"/>
    </row>
    <row r="159" spans="9:9" ht="20.25" customHeight="1" x14ac:dyDescent="0.25">
      <c r="I159" s="1"/>
    </row>
    <row r="160" spans="9:9" ht="20.25" customHeight="1" x14ac:dyDescent="0.25">
      <c r="I160" s="1"/>
    </row>
    <row r="161" spans="9:9" ht="20.25" customHeight="1" x14ac:dyDescent="0.25">
      <c r="I161" s="1"/>
    </row>
    <row r="162" spans="9:9" ht="20.25" customHeight="1" x14ac:dyDescent="0.25">
      <c r="I162" s="1"/>
    </row>
    <row r="163" spans="9:9" ht="20.25" customHeight="1" x14ac:dyDescent="0.25">
      <c r="I163" s="1"/>
    </row>
    <row r="164" spans="9:9" ht="20.25" customHeight="1" x14ac:dyDescent="0.25">
      <c r="I164" s="1"/>
    </row>
    <row r="165" spans="9:9" ht="20.25" customHeight="1" x14ac:dyDescent="0.25">
      <c r="I165" s="1"/>
    </row>
    <row r="166" spans="9:9" ht="20.25" customHeight="1" x14ac:dyDescent="0.25">
      <c r="I166" s="1"/>
    </row>
    <row r="167" spans="9:9" ht="20.25" customHeight="1" x14ac:dyDescent="0.25">
      <c r="I167" s="1"/>
    </row>
    <row r="168" spans="9:9" ht="20.25" customHeight="1" x14ac:dyDescent="0.25">
      <c r="I168" s="1"/>
    </row>
    <row r="169" spans="9:9" ht="20.25" customHeight="1" x14ac:dyDescent="0.25">
      <c r="I169" s="1"/>
    </row>
    <row r="170" spans="9:9" ht="20.25" customHeight="1" x14ac:dyDescent="0.25">
      <c r="I170" s="1"/>
    </row>
    <row r="171" spans="9:9" ht="20.25" customHeight="1" x14ac:dyDescent="0.25">
      <c r="I171" s="1"/>
    </row>
    <row r="172" spans="9:9" ht="20.25" customHeight="1" x14ac:dyDescent="0.25">
      <c r="I172" s="1"/>
    </row>
    <row r="173" spans="9:9" ht="20.25" customHeight="1" x14ac:dyDescent="0.25">
      <c r="I173" s="1"/>
    </row>
    <row r="174" spans="9:9" ht="20.25" customHeight="1" x14ac:dyDescent="0.25">
      <c r="I174" s="1"/>
    </row>
    <row r="175" spans="9:9" ht="20.25" customHeight="1" x14ac:dyDescent="0.25">
      <c r="I175" s="1"/>
    </row>
    <row r="176" spans="9:9" ht="20.25" customHeight="1" x14ac:dyDescent="0.25">
      <c r="I176" s="1"/>
    </row>
    <row r="177" spans="9:9" ht="20.25" customHeight="1" x14ac:dyDescent="0.25">
      <c r="I177" s="1"/>
    </row>
    <row r="178" spans="9:9" ht="20.25" customHeight="1" x14ac:dyDescent="0.25">
      <c r="I178" s="1"/>
    </row>
    <row r="179" spans="9:9" ht="20.25" customHeight="1" x14ac:dyDescent="0.25">
      <c r="I179" s="1"/>
    </row>
    <row r="180" spans="9:9" ht="20.25" customHeight="1" x14ac:dyDescent="0.25">
      <c r="I180" s="1"/>
    </row>
    <row r="181" spans="9:9" ht="20.25" customHeight="1" x14ac:dyDescent="0.25">
      <c r="I181" s="1"/>
    </row>
    <row r="182" spans="9:9" ht="20.25" customHeight="1" x14ac:dyDescent="0.25">
      <c r="I182" s="1"/>
    </row>
    <row r="183" spans="9:9" ht="20.25" customHeight="1" x14ac:dyDescent="0.25">
      <c r="I183" s="1"/>
    </row>
    <row r="184" spans="9:9" ht="20.25" customHeight="1" x14ac:dyDescent="0.25">
      <c r="I184" s="1"/>
    </row>
    <row r="185" spans="9:9" ht="20.25" customHeight="1" x14ac:dyDescent="0.25">
      <c r="I185" s="1"/>
    </row>
    <row r="186" spans="9:9" ht="20.25" customHeight="1" x14ac:dyDescent="0.25">
      <c r="I186" s="1"/>
    </row>
    <row r="187" spans="9:9" ht="20.25" customHeight="1" x14ac:dyDescent="0.25">
      <c r="I187" s="1"/>
    </row>
    <row r="188" spans="9:9" ht="20.25" customHeight="1" x14ac:dyDescent="0.25">
      <c r="I188" s="1"/>
    </row>
    <row r="189" spans="9:9" ht="20.25" customHeight="1" x14ac:dyDescent="0.25">
      <c r="I189" s="1"/>
    </row>
    <row r="190" spans="9:9" ht="20.25" customHeight="1" x14ac:dyDescent="0.25">
      <c r="I190" s="1"/>
    </row>
    <row r="191" spans="9:9" ht="20.25" customHeight="1" x14ac:dyDescent="0.25">
      <c r="I191" s="1"/>
    </row>
    <row r="192" spans="9:9" ht="20.25" customHeight="1" x14ac:dyDescent="0.25">
      <c r="I192" s="1"/>
    </row>
    <row r="193" spans="9:9" ht="20.25" customHeight="1" x14ac:dyDescent="0.25">
      <c r="I193" s="1"/>
    </row>
    <row r="194" spans="9:9" ht="20.25" customHeight="1" x14ac:dyDescent="0.25">
      <c r="I194" s="1"/>
    </row>
    <row r="195" spans="9:9" ht="20.25" customHeight="1" x14ac:dyDescent="0.25">
      <c r="I195" s="1"/>
    </row>
    <row r="196" spans="9:9" ht="20.25" customHeight="1" x14ac:dyDescent="0.25">
      <c r="I196" s="1"/>
    </row>
    <row r="197" spans="9:9" ht="20.25" customHeight="1" x14ac:dyDescent="0.25">
      <c r="I197" s="1"/>
    </row>
    <row r="198" spans="9:9" ht="20.25" customHeight="1" x14ac:dyDescent="0.25">
      <c r="I198" s="1"/>
    </row>
    <row r="199" spans="9:9" ht="20.25" customHeight="1" x14ac:dyDescent="0.25">
      <c r="I199" s="1"/>
    </row>
    <row r="200" spans="9:9" ht="20.25" customHeight="1" x14ac:dyDescent="0.25">
      <c r="I200" s="1"/>
    </row>
    <row r="201" spans="9:9" ht="20.25" customHeight="1" x14ac:dyDescent="0.25">
      <c r="I201" s="1"/>
    </row>
    <row r="202" spans="9:9" ht="20.25" customHeight="1" x14ac:dyDescent="0.25">
      <c r="I202" s="1"/>
    </row>
    <row r="203" spans="9:9" ht="20.25" customHeight="1" x14ac:dyDescent="0.25">
      <c r="I203" s="1"/>
    </row>
    <row r="204" spans="9:9" ht="20.25" customHeight="1" x14ac:dyDescent="0.25">
      <c r="I204" s="1"/>
    </row>
    <row r="205" spans="9:9" ht="20.25" customHeight="1" x14ac:dyDescent="0.25">
      <c r="I205" s="1"/>
    </row>
    <row r="206" spans="9:9" ht="20.25" customHeight="1" x14ac:dyDescent="0.25">
      <c r="I206" s="1"/>
    </row>
    <row r="207" spans="9:9" ht="20.25" customHeight="1" x14ac:dyDescent="0.25">
      <c r="I207" s="1"/>
    </row>
    <row r="208" spans="9:9" ht="20.25" customHeight="1" x14ac:dyDescent="0.25">
      <c r="I208" s="1"/>
    </row>
    <row r="209" spans="9:9" ht="20.25" customHeight="1" x14ac:dyDescent="0.25">
      <c r="I209" s="1"/>
    </row>
    <row r="210" spans="9:9" ht="20.25" customHeight="1" x14ac:dyDescent="0.25">
      <c r="I210" s="1"/>
    </row>
    <row r="211" spans="9:9" ht="20.25" customHeight="1" x14ac:dyDescent="0.25">
      <c r="I211" s="1"/>
    </row>
    <row r="212" spans="9:9" ht="20.25" customHeight="1" x14ac:dyDescent="0.25">
      <c r="I212" s="1"/>
    </row>
    <row r="213" spans="9:9" ht="20.25" customHeight="1" x14ac:dyDescent="0.25">
      <c r="I213" s="1"/>
    </row>
    <row r="214" spans="9:9" ht="20.25" customHeight="1" x14ac:dyDescent="0.25">
      <c r="I214" s="1"/>
    </row>
    <row r="215" spans="9:9" ht="20.25" customHeight="1" x14ac:dyDescent="0.25">
      <c r="I215" s="1"/>
    </row>
    <row r="216" spans="9:9" ht="20.25" customHeight="1" x14ac:dyDescent="0.25">
      <c r="I216" s="1"/>
    </row>
    <row r="217" spans="9:9" ht="20.25" customHeight="1" x14ac:dyDescent="0.25">
      <c r="I217" s="1"/>
    </row>
    <row r="218" spans="9:9" ht="20.25" customHeight="1" x14ac:dyDescent="0.25">
      <c r="I218" s="1"/>
    </row>
    <row r="219" spans="9:9" ht="20.25" customHeight="1" x14ac:dyDescent="0.25">
      <c r="I219" s="1"/>
    </row>
    <row r="220" spans="9:9" ht="20.25" customHeight="1" x14ac:dyDescent="0.25">
      <c r="I220" s="1"/>
    </row>
    <row r="221" spans="9:9" ht="20.25" customHeight="1" x14ac:dyDescent="0.25">
      <c r="I221" s="1"/>
    </row>
    <row r="222" spans="9:9" ht="20.25" customHeight="1" x14ac:dyDescent="0.25">
      <c r="I222" s="1"/>
    </row>
    <row r="223" spans="9:9" ht="20.25" customHeight="1" x14ac:dyDescent="0.25">
      <c r="I223" s="1"/>
    </row>
    <row r="224" spans="9:9" ht="20.25" customHeight="1" x14ac:dyDescent="0.25">
      <c r="I224" s="1"/>
    </row>
    <row r="225" spans="9:9" ht="20.25" customHeight="1" x14ac:dyDescent="0.25">
      <c r="I225" s="1"/>
    </row>
    <row r="226" spans="9:9" ht="20.25" customHeight="1" x14ac:dyDescent="0.25">
      <c r="I226" s="1"/>
    </row>
    <row r="227" spans="9:9" ht="20.25" customHeight="1" x14ac:dyDescent="0.25">
      <c r="I227" s="1"/>
    </row>
    <row r="228" spans="9:9" ht="20.25" customHeight="1" x14ac:dyDescent="0.25">
      <c r="I228" s="1"/>
    </row>
    <row r="229" spans="9:9" ht="20.25" customHeight="1" x14ac:dyDescent="0.25">
      <c r="I229" s="1"/>
    </row>
    <row r="230" spans="9:9" ht="20.25" customHeight="1" x14ac:dyDescent="0.25">
      <c r="I230" s="1"/>
    </row>
    <row r="231" spans="9:9" ht="20.25" customHeight="1" x14ac:dyDescent="0.25">
      <c r="I231" s="1"/>
    </row>
    <row r="232" spans="9:9" ht="20.25" customHeight="1" x14ac:dyDescent="0.25">
      <c r="I232" s="1"/>
    </row>
    <row r="233" spans="9:9" ht="20.25" customHeight="1" x14ac:dyDescent="0.25">
      <c r="I233" s="1"/>
    </row>
    <row r="234" spans="9:9" ht="20.25" customHeight="1" x14ac:dyDescent="0.25">
      <c r="I234" s="1"/>
    </row>
    <row r="235" spans="9:9" ht="20.25" customHeight="1" x14ac:dyDescent="0.25">
      <c r="I235" s="1"/>
    </row>
    <row r="236" spans="9:9" ht="20.25" customHeight="1" x14ac:dyDescent="0.25">
      <c r="I236" s="1"/>
    </row>
    <row r="237" spans="9:9" ht="20.25" customHeight="1" x14ac:dyDescent="0.25">
      <c r="I237" s="1"/>
    </row>
    <row r="238" spans="9:9" ht="20.25" customHeight="1" x14ac:dyDescent="0.25">
      <c r="I238" s="1"/>
    </row>
    <row r="239" spans="9:9" ht="20.25" customHeight="1" x14ac:dyDescent="0.25">
      <c r="I239" s="1"/>
    </row>
    <row r="240" spans="9:9" ht="20.25" customHeight="1" x14ac:dyDescent="0.25">
      <c r="I240" s="1"/>
    </row>
    <row r="241" spans="9:9" ht="20.25" customHeight="1" x14ac:dyDescent="0.25">
      <c r="I241" s="1"/>
    </row>
    <row r="242" spans="9:9" ht="20.25" customHeight="1" x14ac:dyDescent="0.25">
      <c r="I242" s="1"/>
    </row>
    <row r="243" spans="9:9" ht="20.25" customHeight="1" x14ac:dyDescent="0.25">
      <c r="I243" s="1"/>
    </row>
    <row r="244" spans="9:9" ht="20.25" customHeight="1" x14ac:dyDescent="0.25">
      <c r="I244" s="1"/>
    </row>
    <row r="245" spans="9:9" ht="20.25" customHeight="1" x14ac:dyDescent="0.25">
      <c r="I245" s="1"/>
    </row>
    <row r="246" spans="9:9" ht="20.25" customHeight="1" x14ac:dyDescent="0.25">
      <c r="I246" s="1"/>
    </row>
    <row r="247" spans="9:9" ht="20.25" customHeight="1" x14ac:dyDescent="0.25">
      <c r="I247" s="1"/>
    </row>
    <row r="248" spans="9:9" ht="20.25" customHeight="1" x14ac:dyDescent="0.25">
      <c r="I248" s="1"/>
    </row>
    <row r="249" spans="9:9" ht="20.25" customHeight="1" x14ac:dyDescent="0.25">
      <c r="I249" s="1"/>
    </row>
    <row r="250" spans="9:9" ht="20.25" customHeight="1" x14ac:dyDescent="0.25">
      <c r="I250" s="1"/>
    </row>
    <row r="251" spans="9:9" ht="20.25" customHeight="1" x14ac:dyDescent="0.25">
      <c r="I251" s="1"/>
    </row>
    <row r="252" spans="9:9" ht="20.25" customHeight="1" x14ac:dyDescent="0.25">
      <c r="I252" s="1"/>
    </row>
    <row r="253" spans="9:9" ht="20.25" customHeight="1" x14ac:dyDescent="0.25">
      <c r="I253" s="1"/>
    </row>
    <row r="254" spans="9:9" ht="20.25" customHeight="1" x14ac:dyDescent="0.25">
      <c r="I254" s="1"/>
    </row>
    <row r="255" spans="9:9" ht="20.25" customHeight="1" x14ac:dyDescent="0.25">
      <c r="I255" s="1"/>
    </row>
    <row r="256" spans="9:9" ht="20.25" customHeight="1" x14ac:dyDescent="0.25">
      <c r="I256" s="1"/>
    </row>
    <row r="257" spans="9:9" ht="20.25" customHeight="1" x14ac:dyDescent="0.25">
      <c r="I257" s="1"/>
    </row>
    <row r="258" spans="9:9" ht="20.25" customHeight="1" x14ac:dyDescent="0.25">
      <c r="I258" s="1"/>
    </row>
    <row r="259" spans="9:9" ht="20.25" customHeight="1" x14ac:dyDescent="0.25">
      <c r="I259" s="1"/>
    </row>
    <row r="260" spans="9:9" ht="20.25" customHeight="1" x14ac:dyDescent="0.25">
      <c r="I260" s="1"/>
    </row>
    <row r="261" spans="9:9" ht="20.25" customHeight="1" x14ac:dyDescent="0.25">
      <c r="I261" s="1"/>
    </row>
    <row r="262" spans="9:9" ht="20.25" customHeight="1" x14ac:dyDescent="0.25">
      <c r="I262" s="1"/>
    </row>
    <row r="263" spans="9:9" ht="20.25" customHeight="1" x14ac:dyDescent="0.25">
      <c r="I263" s="1"/>
    </row>
    <row r="264" spans="9:9" ht="20.25" customHeight="1" x14ac:dyDescent="0.25">
      <c r="I264" s="1"/>
    </row>
    <row r="265" spans="9:9" ht="20.25" customHeight="1" x14ac:dyDescent="0.25">
      <c r="I265" s="1"/>
    </row>
    <row r="266" spans="9:9" ht="20.25" customHeight="1" x14ac:dyDescent="0.25">
      <c r="I266" s="1"/>
    </row>
    <row r="267" spans="9:9" ht="20.25" customHeight="1" x14ac:dyDescent="0.25">
      <c r="I267" s="1"/>
    </row>
    <row r="268" spans="9:9" ht="20.25" customHeight="1" x14ac:dyDescent="0.25">
      <c r="I268" s="1"/>
    </row>
    <row r="269" spans="9:9" ht="20.25" customHeight="1" x14ac:dyDescent="0.25">
      <c r="I269" s="1"/>
    </row>
    <row r="270" spans="9:9" ht="20.25" customHeight="1" x14ac:dyDescent="0.25">
      <c r="I270" s="1"/>
    </row>
    <row r="271" spans="9:9" ht="20.25" customHeight="1" x14ac:dyDescent="0.25">
      <c r="I271" s="1"/>
    </row>
    <row r="272" spans="9:9" ht="20.25" customHeight="1" x14ac:dyDescent="0.25">
      <c r="I272" s="1"/>
    </row>
    <row r="273" spans="9:9" ht="20.25" customHeight="1" x14ac:dyDescent="0.25">
      <c r="I273" s="1"/>
    </row>
    <row r="274" spans="9:9" ht="20.25" customHeight="1" x14ac:dyDescent="0.25">
      <c r="I274" s="1"/>
    </row>
    <row r="275" spans="9:9" ht="20.25" customHeight="1" x14ac:dyDescent="0.25">
      <c r="I275" s="1"/>
    </row>
    <row r="276" spans="9:9" ht="20.25" customHeight="1" x14ac:dyDescent="0.25">
      <c r="I276" s="1"/>
    </row>
    <row r="277" spans="9:9" ht="20.25" customHeight="1" x14ac:dyDescent="0.25">
      <c r="I277" s="1"/>
    </row>
    <row r="278" spans="9:9" ht="20.25" customHeight="1" x14ac:dyDescent="0.25">
      <c r="I278" s="1"/>
    </row>
    <row r="279" spans="9:9" ht="20.25" customHeight="1" x14ac:dyDescent="0.25">
      <c r="I279" s="1"/>
    </row>
    <row r="280" spans="9:9" ht="20.25" customHeight="1" x14ac:dyDescent="0.25">
      <c r="I280" s="1"/>
    </row>
    <row r="281" spans="9:9" ht="20.25" customHeight="1" x14ac:dyDescent="0.25">
      <c r="I281" s="1"/>
    </row>
    <row r="282" spans="9:9" ht="20.25" customHeight="1" x14ac:dyDescent="0.25">
      <c r="I282" s="1"/>
    </row>
    <row r="283" spans="9:9" ht="20.25" customHeight="1" x14ac:dyDescent="0.25">
      <c r="I283" s="1"/>
    </row>
    <row r="284" spans="9:9" ht="20.25" customHeight="1" x14ac:dyDescent="0.25">
      <c r="I284" s="1"/>
    </row>
    <row r="285" spans="9:9" ht="20.25" customHeight="1" x14ac:dyDescent="0.25">
      <c r="I285" s="1"/>
    </row>
    <row r="286" spans="9:9" ht="20.25" customHeight="1" x14ac:dyDescent="0.25">
      <c r="I286" s="1"/>
    </row>
    <row r="287" spans="9:9" ht="20.25" customHeight="1" x14ac:dyDescent="0.25">
      <c r="I287" s="1"/>
    </row>
    <row r="288" spans="9:9" ht="20.25" customHeight="1" x14ac:dyDescent="0.25">
      <c r="I288" s="1"/>
    </row>
    <row r="289" spans="9:9" ht="20.25" customHeight="1" x14ac:dyDescent="0.25">
      <c r="I289" s="1"/>
    </row>
    <row r="290" spans="9:9" ht="20.25" customHeight="1" x14ac:dyDescent="0.25">
      <c r="I290" s="1"/>
    </row>
    <row r="291" spans="9:9" ht="20.25" customHeight="1" x14ac:dyDescent="0.25">
      <c r="I291" s="1"/>
    </row>
    <row r="292" spans="9:9" ht="20.25" customHeight="1" x14ac:dyDescent="0.25">
      <c r="I292" s="1"/>
    </row>
    <row r="293" spans="9:9" ht="20.25" customHeight="1" x14ac:dyDescent="0.25">
      <c r="I293" s="1"/>
    </row>
    <row r="294" spans="9:9" ht="20.25" customHeight="1" x14ac:dyDescent="0.25">
      <c r="I294" s="1"/>
    </row>
    <row r="295" spans="9:9" ht="20.25" customHeight="1" x14ac:dyDescent="0.25">
      <c r="I295" s="1"/>
    </row>
    <row r="296" spans="9:9" ht="20.25" customHeight="1" x14ac:dyDescent="0.25">
      <c r="I296" s="1"/>
    </row>
    <row r="297" spans="9:9" ht="20.25" customHeight="1" x14ac:dyDescent="0.25">
      <c r="I297" s="1"/>
    </row>
    <row r="298" spans="9:9" ht="20.25" customHeight="1" x14ac:dyDescent="0.25">
      <c r="I298" s="1"/>
    </row>
    <row r="299" spans="9:9" ht="20.25" customHeight="1" x14ac:dyDescent="0.25">
      <c r="I299" s="1"/>
    </row>
    <row r="300" spans="9:9" ht="20.25" customHeight="1" x14ac:dyDescent="0.25">
      <c r="I300" s="1"/>
    </row>
    <row r="301" spans="9:9" ht="20.25" customHeight="1" x14ac:dyDescent="0.25">
      <c r="I301" s="1"/>
    </row>
    <row r="302" spans="9:9" ht="20.25" customHeight="1" x14ac:dyDescent="0.25">
      <c r="I302" s="1"/>
    </row>
    <row r="303" spans="9:9" ht="20.25" customHeight="1" x14ac:dyDescent="0.25">
      <c r="I303" s="1"/>
    </row>
    <row r="304" spans="9:9" ht="20.25" customHeight="1" x14ac:dyDescent="0.25">
      <c r="I304" s="1"/>
    </row>
    <row r="305" spans="9:9" ht="20.25" customHeight="1" x14ac:dyDescent="0.25">
      <c r="I305" s="1"/>
    </row>
    <row r="306" spans="9:9" ht="20.25" customHeight="1" x14ac:dyDescent="0.25">
      <c r="I306" s="1"/>
    </row>
    <row r="307" spans="9:9" ht="20.25" customHeight="1" x14ac:dyDescent="0.25">
      <c r="I307" s="1"/>
    </row>
    <row r="308" spans="9:9" ht="20.25" customHeight="1" x14ac:dyDescent="0.25">
      <c r="I308" s="1"/>
    </row>
    <row r="309" spans="9:9" ht="20.25" customHeight="1" x14ac:dyDescent="0.25">
      <c r="I309" s="1"/>
    </row>
    <row r="310" spans="9:9" ht="20.25" customHeight="1" x14ac:dyDescent="0.25">
      <c r="I310" s="1"/>
    </row>
    <row r="311" spans="9:9" ht="20.25" customHeight="1" x14ac:dyDescent="0.25">
      <c r="I311" s="1"/>
    </row>
    <row r="312" spans="9:9" ht="20.25" customHeight="1" x14ac:dyDescent="0.25">
      <c r="I312" s="1"/>
    </row>
    <row r="313" spans="9:9" ht="20.25" customHeight="1" x14ac:dyDescent="0.25">
      <c r="I313" s="1"/>
    </row>
    <row r="314" spans="9:9" ht="20.25" customHeight="1" x14ac:dyDescent="0.25">
      <c r="I314" s="1"/>
    </row>
    <row r="315" spans="9:9" ht="20.25" customHeight="1" x14ac:dyDescent="0.25">
      <c r="I315" s="1"/>
    </row>
    <row r="316" spans="9:9" ht="20.25" customHeight="1" x14ac:dyDescent="0.25">
      <c r="I316" s="1"/>
    </row>
    <row r="317" spans="9:9" ht="20.25" customHeight="1" x14ac:dyDescent="0.25">
      <c r="I317" s="1"/>
    </row>
    <row r="318" spans="9:9" ht="20.25" customHeight="1" x14ac:dyDescent="0.25">
      <c r="I318" s="1"/>
    </row>
    <row r="319" spans="9:9" ht="20.25" customHeight="1" x14ac:dyDescent="0.25">
      <c r="I319" s="1"/>
    </row>
    <row r="320" spans="9:9" ht="20.25" customHeight="1" x14ac:dyDescent="0.25">
      <c r="I320" s="1"/>
    </row>
    <row r="321" spans="9:9" ht="20.25" customHeight="1" x14ac:dyDescent="0.25">
      <c r="I321" s="1"/>
    </row>
    <row r="322" spans="9:9" ht="20.25" customHeight="1" x14ac:dyDescent="0.25">
      <c r="I322" s="1"/>
    </row>
    <row r="323" spans="9:9" ht="20.25" customHeight="1" x14ac:dyDescent="0.25">
      <c r="I323" s="1"/>
    </row>
    <row r="324" spans="9:9" ht="20.25" customHeight="1" x14ac:dyDescent="0.25">
      <c r="I324" s="1"/>
    </row>
    <row r="325" spans="9:9" ht="20.25" customHeight="1" x14ac:dyDescent="0.25">
      <c r="I325" s="1"/>
    </row>
    <row r="326" spans="9:9" ht="20.25" customHeight="1" x14ac:dyDescent="0.25">
      <c r="I326" s="1"/>
    </row>
    <row r="327" spans="9:9" ht="20.25" customHeight="1" x14ac:dyDescent="0.25">
      <c r="I327" s="1"/>
    </row>
    <row r="328" spans="9:9" ht="20.25" customHeight="1" x14ac:dyDescent="0.25">
      <c r="I328" s="1"/>
    </row>
    <row r="329" spans="9:9" ht="20.25" customHeight="1" x14ac:dyDescent="0.25">
      <c r="I329" s="1"/>
    </row>
    <row r="330" spans="9:9" ht="20.25" customHeight="1" x14ac:dyDescent="0.25">
      <c r="I330" s="1"/>
    </row>
    <row r="331" spans="9:9" ht="20.25" customHeight="1" x14ac:dyDescent="0.25">
      <c r="I331" s="1"/>
    </row>
    <row r="332" spans="9:9" ht="20.25" customHeight="1" x14ac:dyDescent="0.25">
      <c r="I332" s="1"/>
    </row>
    <row r="333" spans="9:9" ht="20.25" customHeight="1" x14ac:dyDescent="0.25">
      <c r="I333" s="1"/>
    </row>
    <row r="334" spans="9:9" ht="20.25" customHeight="1" x14ac:dyDescent="0.25">
      <c r="I334" s="1"/>
    </row>
    <row r="335" spans="9:9" ht="20.25" customHeight="1" x14ac:dyDescent="0.25">
      <c r="I335" s="1"/>
    </row>
    <row r="336" spans="9:9" ht="20.25" customHeight="1" x14ac:dyDescent="0.25">
      <c r="I336" s="1"/>
    </row>
    <row r="337" spans="9:9" ht="20.25" customHeight="1" x14ac:dyDescent="0.25">
      <c r="I337" s="1"/>
    </row>
    <row r="338" spans="9:9" ht="20.25" customHeight="1" x14ac:dyDescent="0.25">
      <c r="I338" s="1"/>
    </row>
    <row r="339" spans="9:9" ht="20.25" customHeight="1" x14ac:dyDescent="0.25">
      <c r="I339" s="1"/>
    </row>
    <row r="340" spans="9:9" ht="20.25" customHeight="1" x14ac:dyDescent="0.25">
      <c r="I340" s="1"/>
    </row>
    <row r="341" spans="9:9" ht="20.25" customHeight="1" x14ac:dyDescent="0.25">
      <c r="I341" s="1"/>
    </row>
    <row r="342" spans="9:9" ht="20.25" customHeight="1" x14ac:dyDescent="0.25">
      <c r="I342" s="1"/>
    </row>
    <row r="343" spans="9:9" ht="20.25" customHeight="1" x14ac:dyDescent="0.25">
      <c r="I343" s="1"/>
    </row>
    <row r="344" spans="9:9" ht="20.25" customHeight="1" x14ac:dyDescent="0.25">
      <c r="I344" s="1"/>
    </row>
    <row r="345" spans="9:9" ht="20.25" customHeight="1" x14ac:dyDescent="0.25">
      <c r="I345" s="1"/>
    </row>
    <row r="346" spans="9:9" ht="20.25" customHeight="1" x14ac:dyDescent="0.25">
      <c r="I346" s="1"/>
    </row>
    <row r="347" spans="9:9" ht="20.25" customHeight="1" x14ac:dyDescent="0.25">
      <c r="I347" s="1"/>
    </row>
    <row r="348" spans="9:9" ht="20.25" customHeight="1" x14ac:dyDescent="0.25">
      <c r="I348" s="1"/>
    </row>
    <row r="349" spans="9:9" ht="20.25" customHeight="1" x14ac:dyDescent="0.25">
      <c r="I349" s="1"/>
    </row>
    <row r="350" spans="9:9" ht="20.25" customHeight="1" x14ac:dyDescent="0.25">
      <c r="I350" s="1"/>
    </row>
    <row r="351" spans="9:9" ht="20.25" customHeight="1" x14ac:dyDescent="0.25">
      <c r="I351" s="1"/>
    </row>
    <row r="352" spans="9:9" ht="20.25" customHeight="1" x14ac:dyDescent="0.25">
      <c r="I352" s="1"/>
    </row>
    <row r="353" spans="9:9" ht="20.25" customHeight="1" x14ac:dyDescent="0.25">
      <c r="I353" s="1"/>
    </row>
    <row r="354" spans="9:9" ht="20.25" customHeight="1" x14ac:dyDescent="0.25">
      <c r="I354" s="1"/>
    </row>
    <row r="355" spans="9:9" ht="20.25" customHeight="1" x14ac:dyDescent="0.25">
      <c r="I355" s="1"/>
    </row>
    <row r="356" spans="9:9" ht="20.25" customHeight="1" x14ac:dyDescent="0.25">
      <c r="I356" s="1"/>
    </row>
    <row r="357" spans="9:9" ht="20.25" customHeight="1" x14ac:dyDescent="0.25">
      <c r="I357" s="1"/>
    </row>
    <row r="358" spans="9:9" ht="20.25" customHeight="1" x14ac:dyDescent="0.25">
      <c r="I358" s="1"/>
    </row>
    <row r="359" spans="9:9" ht="20.25" customHeight="1" x14ac:dyDescent="0.25">
      <c r="I359" s="1"/>
    </row>
    <row r="360" spans="9:9" ht="20.25" customHeight="1" x14ac:dyDescent="0.25">
      <c r="I360" s="1"/>
    </row>
    <row r="361" spans="9:9" ht="20.25" customHeight="1" x14ac:dyDescent="0.25">
      <c r="I361" s="1"/>
    </row>
    <row r="362" spans="9:9" ht="20.25" customHeight="1" x14ac:dyDescent="0.25">
      <c r="I362" s="1"/>
    </row>
    <row r="363" spans="9:9" ht="20.25" customHeight="1" x14ac:dyDescent="0.25">
      <c r="I363" s="1"/>
    </row>
    <row r="364" spans="9:9" ht="20.25" customHeight="1" x14ac:dyDescent="0.25">
      <c r="I364" s="1"/>
    </row>
    <row r="365" spans="9:9" ht="20.25" customHeight="1" x14ac:dyDescent="0.25">
      <c r="I365" s="1"/>
    </row>
    <row r="366" spans="9:9" ht="20.25" customHeight="1" x14ac:dyDescent="0.25">
      <c r="I366" s="1"/>
    </row>
    <row r="367" spans="9:9" ht="20.25" customHeight="1" x14ac:dyDescent="0.25">
      <c r="I367" s="1"/>
    </row>
    <row r="368" spans="9:9" ht="20.25" customHeight="1" x14ac:dyDescent="0.25">
      <c r="I368" s="1"/>
    </row>
    <row r="369" spans="9:9" ht="20.25" customHeight="1" x14ac:dyDescent="0.25">
      <c r="I369" s="1"/>
    </row>
    <row r="370" spans="9:9" ht="20.25" customHeight="1" x14ac:dyDescent="0.25">
      <c r="I370" s="1"/>
    </row>
    <row r="371" spans="9:9" ht="20.25" customHeight="1" x14ac:dyDescent="0.25">
      <c r="I371" s="1"/>
    </row>
    <row r="372" spans="9:9" ht="20.25" customHeight="1" x14ac:dyDescent="0.25">
      <c r="I372" s="1"/>
    </row>
    <row r="373" spans="9:9" ht="20.25" customHeight="1" x14ac:dyDescent="0.25">
      <c r="I373" s="1"/>
    </row>
    <row r="374" spans="9:9" ht="20.25" customHeight="1" x14ac:dyDescent="0.25">
      <c r="I374" s="1"/>
    </row>
    <row r="375" spans="9:9" ht="20.25" customHeight="1" x14ac:dyDescent="0.25">
      <c r="I375" s="1"/>
    </row>
    <row r="376" spans="9:9" ht="20.25" customHeight="1" x14ac:dyDescent="0.25">
      <c r="I376" s="1"/>
    </row>
    <row r="377" spans="9:9" ht="20.25" customHeight="1" x14ac:dyDescent="0.25">
      <c r="I377" s="1"/>
    </row>
    <row r="378" spans="9:9" ht="20.25" customHeight="1" x14ac:dyDescent="0.25">
      <c r="I378" s="1"/>
    </row>
    <row r="379" spans="9:9" ht="20.25" customHeight="1" x14ac:dyDescent="0.25">
      <c r="I379" s="1"/>
    </row>
    <row r="380" spans="9:9" ht="20.25" customHeight="1" x14ac:dyDescent="0.25">
      <c r="I380" s="1"/>
    </row>
    <row r="381" spans="9:9" ht="20.25" customHeight="1" x14ac:dyDescent="0.25">
      <c r="I381" s="1"/>
    </row>
    <row r="382" spans="9:9" ht="20.25" customHeight="1" x14ac:dyDescent="0.25">
      <c r="I382" s="1"/>
    </row>
    <row r="383" spans="9:9" ht="20.25" customHeight="1" x14ac:dyDescent="0.25">
      <c r="I383" s="1"/>
    </row>
    <row r="384" spans="9:9" ht="20.25" customHeight="1" x14ac:dyDescent="0.25">
      <c r="I384" s="1"/>
    </row>
    <row r="385" spans="9:9" ht="20.25" customHeight="1" x14ac:dyDescent="0.25">
      <c r="I385" s="1"/>
    </row>
    <row r="386" spans="9:9" ht="20.25" customHeight="1" x14ac:dyDescent="0.25">
      <c r="I386" s="1"/>
    </row>
    <row r="387" spans="9:9" ht="20.25" customHeight="1" x14ac:dyDescent="0.25">
      <c r="I387" s="1"/>
    </row>
    <row r="388" spans="9:9" ht="20.25" customHeight="1" x14ac:dyDescent="0.25">
      <c r="I388" s="1"/>
    </row>
    <row r="389" spans="9:9" ht="20.25" customHeight="1" x14ac:dyDescent="0.25">
      <c r="I389" s="1"/>
    </row>
    <row r="390" spans="9:9" ht="20.25" customHeight="1" x14ac:dyDescent="0.25">
      <c r="I390" s="1"/>
    </row>
    <row r="391" spans="9:9" ht="20.25" customHeight="1" x14ac:dyDescent="0.25">
      <c r="I391" s="1"/>
    </row>
    <row r="392" spans="9:9" ht="20.25" customHeight="1" x14ac:dyDescent="0.25">
      <c r="I392" s="1"/>
    </row>
    <row r="393" spans="9:9" ht="20.25" customHeight="1" x14ac:dyDescent="0.25">
      <c r="I393" s="1"/>
    </row>
    <row r="394" spans="9:9" ht="20.25" customHeight="1" x14ac:dyDescent="0.25">
      <c r="I394" s="1"/>
    </row>
    <row r="395" spans="9:9" ht="20.25" customHeight="1" x14ac:dyDescent="0.25">
      <c r="I395" s="1"/>
    </row>
    <row r="396" spans="9:9" ht="20.25" customHeight="1" x14ac:dyDescent="0.25">
      <c r="I396" s="1"/>
    </row>
    <row r="397" spans="9:9" ht="20.25" customHeight="1" x14ac:dyDescent="0.25">
      <c r="I397" s="1"/>
    </row>
    <row r="398" spans="9:9" ht="20.25" customHeight="1" x14ac:dyDescent="0.25">
      <c r="I398" s="1"/>
    </row>
    <row r="399" spans="9:9" ht="20.25" customHeight="1" x14ac:dyDescent="0.25">
      <c r="I399" s="1"/>
    </row>
    <row r="400" spans="9:9" ht="20.25" customHeight="1" x14ac:dyDescent="0.25">
      <c r="I400" s="1"/>
    </row>
    <row r="401" spans="9:9" ht="20.25" customHeight="1" x14ac:dyDescent="0.25">
      <c r="I401" s="1"/>
    </row>
    <row r="402" spans="9:9" ht="20.25" customHeight="1" x14ac:dyDescent="0.25">
      <c r="I402" s="1"/>
    </row>
    <row r="403" spans="9:9" ht="20.25" customHeight="1" x14ac:dyDescent="0.25">
      <c r="I403" s="1"/>
    </row>
    <row r="404" spans="9:9" ht="20.25" customHeight="1" x14ac:dyDescent="0.25">
      <c r="I404" s="1"/>
    </row>
    <row r="405" spans="9:9" ht="20.25" customHeight="1" x14ac:dyDescent="0.25">
      <c r="I405" s="1"/>
    </row>
    <row r="406" spans="9:9" ht="20.25" customHeight="1" x14ac:dyDescent="0.25">
      <c r="I406" s="1"/>
    </row>
    <row r="407" spans="9:9" ht="20.25" customHeight="1" x14ac:dyDescent="0.25">
      <c r="I407" s="1"/>
    </row>
    <row r="408" spans="9:9" ht="20.25" customHeight="1" x14ac:dyDescent="0.25">
      <c r="I408" s="1"/>
    </row>
    <row r="409" spans="9:9" ht="20.25" customHeight="1" x14ac:dyDescent="0.25">
      <c r="I409" s="1"/>
    </row>
    <row r="410" spans="9:9" ht="20.25" customHeight="1" x14ac:dyDescent="0.25">
      <c r="I410" s="1"/>
    </row>
    <row r="411" spans="9:9" ht="20.25" customHeight="1" x14ac:dyDescent="0.25">
      <c r="I411" s="1"/>
    </row>
    <row r="412" spans="9:9" ht="20.25" customHeight="1" x14ac:dyDescent="0.25">
      <c r="I412" s="1"/>
    </row>
    <row r="413" spans="9:9" ht="20.25" customHeight="1" x14ac:dyDescent="0.25">
      <c r="I413" s="1"/>
    </row>
    <row r="414" spans="9:9" ht="20.25" customHeight="1" x14ac:dyDescent="0.25">
      <c r="I414" s="1"/>
    </row>
    <row r="415" spans="9:9" ht="20.25" customHeight="1" x14ac:dyDescent="0.25">
      <c r="I415" s="1"/>
    </row>
    <row r="416" spans="9:9" ht="20.25" customHeight="1" x14ac:dyDescent="0.25">
      <c r="I416" s="1"/>
    </row>
    <row r="417" spans="9:9" ht="20.25" customHeight="1" x14ac:dyDescent="0.25">
      <c r="I417" s="1"/>
    </row>
    <row r="418" spans="9:9" ht="20.25" customHeight="1" x14ac:dyDescent="0.25">
      <c r="I418" s="1"/>
    </row>
    <row r="419" spans="9:9" ht="20.25" customHeight="1" x14ac:dyDescent="0.25">
      <c r="I419" s="1"/>
    </row>
    <row r="420" spans="9:9" ht="20.25" customHeight="1" x14ac:dyDescent="0.25">
      <c r="I420" s="1"/>
    </row>
    <row r="421" spans="9:9" ht="20.25" customHeight="1" x14ac:dyDescent="0.25">
      <c r="I421" s="1"/>
    </row>
    <row r="422" spans="9:9" ht="20.25" customHeight="1" x14ac:dyDescent="0.25">
      <c r="I422" s="1"/>
    </row>
    <row r="423" spans="9:9" ht="20.25" customHeight="1" x14ac:dyDescent="0.25">
      <c r="I423" s="1"/>
    </row>
    <row r="424" spans="9:9" ht="20.25" customHeight="1" x14ac:dyDescent="0.25">
      <c r="I424" s="1"/>
    </row>
    <row r="425" spans="9:9" ht="20.25" customHeight="1" x14ac:dyDescent="0.25">
      <c r="I425" s="1"/>
    </row>
    <row r="426" spans="9:9" ht="20.25" customHeight="1" x14ac:dyDescent="0.25">
      <c r="I426" s="1"/>
    </row>
    <row r="427" spans="9:9" ht="20.25" customHeight="1" x14ac:dyDescent="0.25">
      <c r="I427" s="1"/>
    </row>
    <row r="428" spans="9:9" ht="20.25" customHeight="1" x14ac:dyDescent="0.25">
      <c r="I428" s="1"/>
    </row>
    <row r="429" spans="9:9" ht="20.25" customHeight="1" x14ac:dyDescent="0.25">
      <c r="I429" s="1"/>
    </row>
    <row r="430" spans="9:9" ht="20.25" customHeight="1" x14ac:dyDescent="0.25">
      <c r="I430" s="1"/>
    </row>
    <row r="431" spans="9:9" ht="20.25" customHeight="1" x14ac:dyDescent="0.25">
      <c r="I431" s="1"/>
    </row>
    <row r="432" spans="9:9" ht="20.25" customHeight="1" x14ac:dyDescent="0.25">
      <c r="I432" s="1"/>
    </row>
    <row r="433" spans="9:9" ht="20.25" customHeight="1" x14ac:dyDescent="0.25">
      <c r="I433" s="1"/>
    </row>
    <row r="434" spans="9:9" ht="20.25" customHeight="1" x14ac:dyDescent="0.25">
      <c r="I434" s="1"/>
    </row>
    <row r="435" spans="9:9" ht="20.25" customHeight="1" x14ac:dyDescent="0.25">
      <c r="I435" s="1"/>
    </row>
    <row r="436" spans="9:9" ht="20.25" customHeight="1" x14ac:dyDescent="0.25">
      <c r="I436" s="1"/>
    </row>
    <row r="437" spans="9:9" ht="20.25" customHeight="1" x14ac:dyDescent="0.25">
      <c r="I437" s="1"/>
    </row>
    <row r="438" spans="9:9" ht="20.25" customHeight="1" x14ac:dyDescent="0.25">
      <c r="I438" s="1"/>
    </row>
    <row r="439" spans="9:9" ht="20.25" customHeight="1" x14ac:dyDescent="0.25">
      <c r="I439" s="1"/>
    </row>
    <row r="440" spans="9:9" ht="20.25" customHeight="1" x14ac:dyDescent="0.25">
      <c r="I440" s="1"/>
    </row>
    <row r="441" spans="9:9" ht="20.25" customHeight="1" x14ac:dyDescent="0.25">
      <c r="I441" s="1"/>
    </row>
    <row r="442" spans="9:9" ht="20.25" customHeight="1" x14ac:dyDescent="0.25">
      <c r="I442" s="1"/>
    </row>
    <row r="443" spans="9:9" ht="20.25" customHeight="1" x14ac:dyDescent="0.25">
      <c r="I443" s="1"/>
    </row>
    <row r="444" spans="9:9" ht="20.25" customHeight="1" x14ac:dyDescent="0.25">
      <c r="I444" s="1"/>
    </row>
    <row r="445" spans="9:9" ht="20.25" customHeight="1" x14ac:dyDescent="0.25">
      <c r="I445" s="1"/>
    </row>
    <row r="446" spans="9:9" ht="20.25" customHeight="1" x14ac:dyDescent="0.25">
      <c r="I446" s="1"/>
    </row>
    <row r="447" spans="9:9" ht="20.25" customHeight="1" x14ac:dyDescent="0.25">
      <c r="I447" s="1"/>
    </row>
    <row r="448" spans="9:9" ht="20.25" customHeight="1" x14ac:dyDescent="0.25">
      <c r="I448" s="1"/>
    </row>
    <row r="449" spans="9:9" ht="20.25" customHeight="1" x14ac:dyDescent="0.25">
      <c r="I449" s="1"/>
    </row>
    <row r="450" spans="9:9" ht="20.25" customHeight="1" x14ac:dyDescent="0.25">
      <c r="I450" s="1"/>
    </row>
    <row r="451" spans="9:9" ht="20.25" customHeight="1" x14ac:dyDescent="0.25">
      <c r="I451" s="1"/>
    </row>
    <row r="452" spans="9:9" ht="20.25" customHeight="1" x14ac:dyDescent="0.25">
      <c r="I452" s="1"/>
    </row>
  </sheetData>
  <sheetProtection selectLockedCells="1"/>
  <mergeCells count="15">
    <mergeCell ref="C2:E2"/>
    <mergeCell ref="W12:X12"/>
    <mergeCell ref="O9:Q9"/>
    <mergeCell ref="O10:Q10"/>
    <mergeCell ref="Q12:T12"/>
    <mergeCell ref="C3:E3"/>
    <mergeCell ref="C4:E4"/>
    <mergeCell ref="C9:F9"/>
    <mergeCell ref="C10:F10"/>
    <mergeCell ref="AE4:AF4"/>
    <mergeCell ref="AG4:AH4"/>
    <mergeCell ref="AE5:AF5"/>
    <mergeCell ref="AG5:AH5"/>
    <mergeCell ref="AE6:AF6"/>
    <mergeCell ref="AG6:AH6"/>
  </mergeCells>
  <conditionalFormatting sqref="I15:I73">
    <cfRule type="expression" dxfId="17" priority="3">
      <formula>$V15="FALL"</formula>
    </cfRule>
    <cfRule type="expression" dxfId="16" priority="4">
      <formula>$V15="CUT"</formula>
    </cfRule>
  </conditionalFormatting>
  <conditionalFormatting sqref="J15:J73">
    <cfRule type="cellIs" dxfId="15" priority="2" operator="greaterThan">
      <formula>0</formula>
    </cfRule>
    <cfRule type="expression" dxfId="14" priority="1">
      <formula>$J15&gt;0</formula>
    </cfRule>
  </conditionalFormatting>
  <pageMargins left="0.7" right="0.7" top="0.75" bottom="0.75" header="0.3" footer="0.3"/>
  <pageSetup orientation="portrait" horizontalDpi="300" verticalDpi="300" r:id="rId1"/>
  <ignoredErrors>
    <ignoredError sqref="I15:I73" formulaRange="1"/>
  </ignoredErrors>
  <tableParts count="2">
    <tablePart r:id="rId2"/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66FA62C2-A702-4E4C-9B71-4B0143D9612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Arrows" iconId="0"/>
              <x14:cfIcon iconSet="3Triangles" iconId="1"/>
              <x14:cfIcon iconSet="3Arrows" iconId="2"/>
            </x14:iconSet>
          </x14:cfRule>
          <xm:sqref>I15:I73</xm:sqref>
        </x14:conditionalFormatting>
        <x14:conditionalFormatting xmlns:xm="http://schemas.microsoft.com/office/excel/2006/main">
          <x14:cfRule type="iconSet" priority="10" id="{3F04F0BC-BC79-434C-B2D5-4D4471A2DCE0}">
            <x14:iconSet iconSet="3Triangles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</x14:iconSet>
          </x14:cfRule>
          <xm:sqref>J15:J73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Levelling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Taher Shawki</dc:creator>
  <cp:lastModifiedBy>Taher Shawki</cp:lastModifiedBy>
  <dcterms:created xsi:type="dcterms:W3CDTF">2024-02-28T06:20:02Z</dcterms:created>
  <dcterms:modified xsi:type="dcterms:W3CDTF">2024-04-21T06:58:26Z</dcterms:modified>
</cp:coreProperties>
</file>